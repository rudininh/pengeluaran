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DAW\Downloads\"/>
    </mc:Choice>
  </mc:AlternateContent>
  <bookViews>
    <workbookView xWindow="0" yWindow="0" windowWidth="21570" windowHeight="7995" tabRatio="585" activeTab="1"/>
  </bookViews>
  <sheets>
    <sheet name="MASTER DATA" sheetId="10" r:id="rId1"/>
    <sheet name="INPUT TRANSAKSI" sheetId="6" r:id="rId2"/>
    <sheet name="DATA PENGELUARAN" sheetId="9" r:id="rId3"/>
    <sheet name="DATA TRANSAKSI" sheetId="7" r:id="rId4"/>
    <sheet name="DASHBOARD BULANAN" sheetId="1" r:id="rId5"/>
    <sheet name="PENGATURAN" sheetId="5" r:id="rId6"/>
    <sheet name="INPUT" sheetId="4" r:id="rId7"/>
    <sheet name="Sheet2" sheetId="3" r:id="rId8"/>
    <sheet name="Sheet3" sheetId="8" r:id="rId9"/>
  </sheets>
  <definedNames>
    <definedName name="_xlnm._FilterDatabase" localSheetId="2" hidden="1">'DATA PENGELUARAN'!$F$9:$K$11</definedName>
    <definedName name="_xlnm._FilterDatabase" localSheetId="0" hidden="1">'MASTER DATA'!$F$9:$K$11</definedName>
  </definedNames>
  <calcPr calcId="162913"/>
</workbook>
</file>

<file path=xl/calcChain.xml><?xml version="1.0" encoding="utf-8"?>
<calcChain xmlns="http://schemas.openxmlformats.org/spreadsheetml/2006/main">
  <c r="S17" i="6" l="1"/>
  <c r="B39" i="5"/>
  <c r="L8" i="6" s="1"/>
  <c r="F43" i="5"/>
  <c r="F41" i="5"/>
  <c r="F37" i="5"/>
  <c r="F32" i="5"/>
  <c r="E19" i="5" l="1"/>
  <c r="G8" i="6" l="1"/>
  <c r="K110" i="9"/>
  <c r="L105" i="9"/>
  <c r="K121" i="9" s="1"/>
  <c r="K95" i="9"/>
  <c r="L94" i="9"/>
  <c r="L93" i="9"/>
  <c r="L92" i="9"/>
  <c r="L91" i="9"/>
  <c r="L90" i="9"/>
  <c r="L89" i="9"/>
  <c r="L88" i="9"/>
  <c r="L95" i="9" s="1"/>
  <c r="G19" i="6" l="1"/>
  <c r="M50" i="5"/>
  <c r="L40" i="5"/>
  <c r="M39" i="5"/>
  <c r="M38" i="5"/>
  <c r="M40" i="5" s="1"/>
  <c r="M37" i="5"/>
  <c r="M36" i="5"/>
  <c r="M35" i="5"/>
  <c r="M34" i="5"/>
  <c r="M33" i="5"/>
  <c r="J110" i="7" l="1"/>
  <c r="K105" i="7"/>
  <c r="J121" i="7" s="1"/>
  <c r="K95" i="7"/>
  <c r="J95" i="7"/>
  <c r="K94" i="7"/>
  <c r="K93" i="7"/>
  <c r="K92" i="7"/>
  <c r="K91" i="7"/>
  <c r="K90" i="7"/>
  <c r="K89" i="7"/>
  <c r="K88" i="7"/>
  <c r="J110" i="6" l="1"/>
  <c r="K105" i="6"/>
  <c r="J121" i="6" s="1"/>
  <c r="J95" i="6"/>
  <c r="K94" i="6"/>
  <c r="K93" i="6"/>
  <c r="K92" i="6"/>
  <c r="K91" i="6"/>
  <c r="K90" i="6"/>
  <c r="K89" i="6"/>
  <c r="K88" i="6"/>
  <c r="K95" i="6" l="1"/>
  <c r="J122" i="6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<sst xmlns="http://schemas.openxmlformats.org/spreadsheetml/2006/main" count="532" uniqueCount="119">
  <si>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</si>
  <si>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</si>
  <si>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</si>
  <si>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</si>
  <si>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</si>
  <si>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</si>
  <si>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</si>
  <si>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</si>
  <si>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</si>
  <si>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</si>
  <si>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</si>
  <si>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</si>
  <si>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</si>
  <si>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</si>
  <si>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</si>
  <si>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</si>
  <si>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</si>
  <si>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</si>
  <si>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</si>
  <si>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</si>
  <si>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</si>
  <si>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</si>
  <si>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</si>
  <si>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</si>
  <si>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</si>
  <si>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</si>
  <si>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</si>
  <si>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</si>
  <si>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</si>
  <si>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</si>
  <si>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</si>
  <si>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</si>
  <si>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</si>
  <si>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</si>
  <si>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</si>
  <si>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</si>
  <si>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</si>
  <si>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</si>
  <si>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</si>
  <si>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</si>
  <si>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</si>
  <si>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</si>
  <si>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</si>
  <si>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</si>
  <si>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</si>
  <si>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</si>
  <si>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</si>
  <si>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</si>
  <si>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</si>
  <si>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</si>
  <si>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</si>
  <si>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</si>
  <si>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</si>
  <si>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</si>
  <si>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</si>
  <si>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</si>
  <si>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</si>
  <si>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</si>
  <si>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</si>
  <si>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</si>
  <si>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</si>
  <si>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</si>
  <si>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</si>
  <si>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</si>
  <si>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</si>
  <si>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</si>
  <si>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</si>
  <si>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</si>
  <si>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</si>
  <si>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</si>
  <si>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</si>
  <si>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</si>
  <si>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</si>
  <si>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</si>
  <si>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</si>
  <si>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</si>
  <si>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</si>
  <si>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</si>
  <si>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</si>
  <si>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</si>
  <si>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</si>
  <si>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</si>
  <si>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</si>
  <si>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</si>
  <si>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</si>
  <si>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</si>
  <si>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</si>
  <si>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</si>
  <si>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</si>
  <si>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</si>
  <si>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</si>
  <si>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</si>
  <si>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</si>
  <si>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</si>
  <si>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</si>
  <si>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</si>
  <si>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</si>
  <si>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</si>
  <si>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</si>
  <si>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</si>
  <si>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</si>
  <si>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</si>
  <si>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</si>
  <si>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</si>
  <si>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</si>
  <si>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</si>
  <si>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</si>
  <si>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</si>
  <si>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</si>
  <si>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</si>
  <si>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</si>
  <si>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</si>
  <si>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</si>
  <si>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Ayam Goreng Sambal Matah 2</t>
  </si>
  <si>
    <t>Warung Ayam Belakang</t>
  </si>
  <si>
    <t>TANGGAL SEKARANG</t>
  </si>
  <si>
    <t xml:space="preserve">BAYI UTAMA </t>
  </si>
  <si>
    <t>ZAKAT, INFAQ, SADAQOH</t>
  </si>
  <si>
    <t>BERHUTANG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</si>
</sst>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29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63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23" fillId="20" borderId="0" xfId="0" applyFont="1" applyFill="1" applyBorder="1" applyAlignment="1">
      <alignment horizontal="center" vertic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  <xf numFmtId="0" fontId="0" fillId="0" borderId="0" xfId="0" applyFont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66675</xdr:rowOff>
        </xdr:from>
        <xdr:to>
          <xdr:col>7</xdr:col>
          <xdr:colOff>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85725</xdr:rowOff>
        </xdr:from>
        <xdr:to>
          <xdr:col>12</xdr:col>
          <xdr:colOff>9525</xdr:colOff>
          <xdr:row>15</xdr:row>
          <xdr:rowOff>85725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2</xdr:col>
          <xdr:colOff>1209675</xdr:colOff>
          <xdr:row>12</xdr:row>
          <xdr:rowOff>123825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C148"/>
  <sheetViews>
    <sheetView topLeftCell="B1" zoomScale="70" zoomScaleNormal="70" workbookViewId="0">
      <selection activeCell="G18" sqref="G18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23.85546875" style="41" customWidth="1"/>
    <col min="15" max="15" width="2.85546875" style="41" customWidth="1"/>
    <col min="16" max="16" width="6.42578125" style="41" customWidth="1"/>
    <col min="17" max="17" width="25.42578125" style="41" customWidth="1"/>
    <col min="18" max="18" width="3.5703125" style="41" customWidth="1"/>
    <col min="19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198" t="s">
        <v>97</v>
      </c>
      <c r="F2" s="198"/>
      <c r="G2" s="198"/>
      <c r="H2" s="198"/>
      <c r="I2" s="198"/>
      <c r="J2" s="198"/>
      <c r="K2" s="198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5.95" customHeight="1">
      <c r="A4" s="62"/>
      <c r="B4" s="195" t="s">
        <v>72</v>
      </c>
      <c r="C4" s="195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195"/>
      <c r="C5" s="195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196"/>
      <c r="L6" s="196"/>
      <c r="M6" s="196"/>
      <c r="N6" s="196"/>
      <c r="O6" s="196"/>
      <c r="P6" s="196"/>
      <c r="Q6" s="196"/>
      <c r="R6" s="197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199" t="s">
        <v>42</v>
      </c>
      <c r="G7" s="200"/>
      <c r="H7" s="200"/>
      <c r="I7" s="200"/>
      <c r="J7" s="200"/>
      <c r="K7" s="201"/>
      <c r="L7" s="181"/>
      <c r="M7" s="181"/>
      <c r="N7" s="181"/>
      <c r="O7" s="42"/>
      <c r="P7" s="181"/>
      <c r="Q7" s="181"/>
      <c r="R7" s="76"/>
      <c r="S7" s="80"/>
      <c r="T7" s="80"/>
      <c r="U7" s="80"/>
      <c r="V7" s="80"/>
      <c r="W7" s="80"/>
      <c r="X7" s="80"/>
      <c r="Y7" s="80"/>
      <c r="Z7" s="80"/>
      <c r="AA7" s="178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81"/>
      <c r="O8" s="181"/>
      <c r="P8" s="181"/>
      <c r="Q8" s="181"/>
      <c r="R8" s="129"/>
      <c r="S8" s="80"/>
      <c r="T8" s="80"/>
      <c r="U8" s="80"/>
      <c r="V8" s="80"/>
      <c r="W8" s="80"/>
      <c r="X8" s="80"/>
      <c r="Y8" s="80"/>
      <c r="Z8" s="80"/>
      <c r="AA8" s="178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1"/>
      <c r="O9" s="181"/>
      <c r="P9" s="181"/>
      <c r="Q9" s="181"/>
      <c r="R9" s="129"/>
      <c r="S9" s="178"/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147"/>
      <c r="O10" s="181"/>
      <c r="P10" s="146"/>
      <c r="Q10" s="147"/>
      <c r="R10" s="129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149"/>
      <c r="O11" s="181"/>
      <c r="P11" s="148"/>
      <c r="Q11" s="149"/>
      <c r="R11" s="129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181"/>
      <c r="O12" s="181"/>
      <c r="P12" s="181"/>
      <c r="Q12" s="181"/>
      <c r="R12" s="129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181"/>
      <c r="O13" s="181"/>
      <c r="P13" s="181"/>
      <c r="Q13" s="181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179"/>
      <c r="O14" s="179"/>
      <c r="P14" s="179"/>
      <c r="Q14" s="179"/>
      <c r="R14" s="129"/>
      <c r="S14" s="178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179"/>
      <c r="O15" s="179"/>
      <c r="P15" s="179"/>
      <c r="Q15" s="179"/>
      <c r="R15" s="129"/>
      <c r="S15" s="178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179"/>
      <c r="O16" s="179"/>
      <c r="P16" s="179"/>
      <c r="Q16" s="179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179"/>
      <c r="O17" s="179"/>
      <c r="P17" s="179"/>
      <c r="Q17" s="179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179"/>
      <c r="O18" s="179"/>
      <c r="P18" s="179"/>
      <c r="Q18" s="179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179"/>
      <c r="O19" s="179"/>
      <c r="P19" s="179"/>
      <c r="Q19" s="179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179"/>
      <c r="O20" s="179"/>
      <c r="P20" s="179"/>
      <c r="Q20" s="179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179"/>
      <c r="O21" s="179"/>
      <c r="P21" s="179"/>
      <c r="Q21" s="179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179"/>
      <c r="O22" s="179"/>
      <c r="P22" s="179"/>
      <c r="Q22" s="179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179"/>
      <c r="O23" s="179"/>
      <c r="P23" s="179"/>
      <c r="Q23" s="179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179"/>
      <c r="O24" s="179"/>
      <c r="P24" s="179"/>
      <c r="Q24" s="179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179"/>
      <c r="O25" s="179"/>
      <c r="P25" s="179"/>
      <c r="Q25" s="179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179"/>
      <c r="O26" s="179"/>
      <c r="P26" s="179"/>
      <c r="Q26" s="179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179"/>
      <c r="O27" s="179"/>
      <c r="P27" s="179"/>
      <c r="Q27" s="179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179"/>
      <c r="O28" s="179"/>
      <c r="P28" s="179"/>
      <c r="Q28" s="179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179"/>
      <c r="O29" s="179"/>
      <c r="P29" s="179"/>
      <c r="Q29" s="179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179"/>
      <c r="O30" s="179"/>
      <c r="P30" s="179"/>
      <c r="Q30" s="179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179"/>
      <c r="O31" s="179"/>
      <c r="P31" s="179"/>
      <c r="Q31" s="179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179"/>
      <c r="O32" s="179"/>
      <c r="P32" s="179"/>
      <c r="Q32" s="179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179"/>
      <c r="O33" s="179"/>
      <c r="P33" s="179"/>
      <c r="Q33" s="179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179"/>
      <c r="O34" s="179"/>
      <c r="P34" s="179"/>
      <c r="Q34" s="179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179"/>
      <c r="O35" s="179"/>
      <c r="P35" s="179"/>
      <c r="Q35" s="179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179"/>
      <c r="O36" s="179"/>
      <c r="P36" s="179"/>
      <c r="Q36" s="179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179"/>
      <c r="O37" s="179"/>
      <c r="P37" s="179"/>
      <c r="Q37" s="179"/>
      <c r="R37" s="129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179"/>
      <c r="O38" s="179"/>
      <c r="P38" s="179"/>
      <c r="Q38" s="179"/>
      <c r="R38" s="129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181"/>
      <c r="O39" s="181"/>
      <c r="P39" s="181"/>
      <c r="Q39" s="181"/>
      <c r="R39" s="181"/>
      <c r="S39" s="181"/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181"/>
      <c r="O40" s="181"/>
      <c r="P40" s="181"/>
      <c r="Q40" s="181"/>
      <c r="R40" s="181"/>
      <c r="S40" s="181"/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181"/>
      <c r="O41" s="181"/>
      <c r="P41" s="181"/>
      <c r="Q41" s="181"/>
      <c r="R41" s="181"/>
      <c r="S41" s="181"/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181"/>
      <c r="O42" s="181"/>
      <c r="P42" s="181"/>
      <c r="Q42" s="181"/>
      <c r="R42" s="181"/>
      <c r="S42" s="181"/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181"/>
      <c r="O43" s="181"/>
      <c r="P43" s="181"/>
      <c r="Q43" s="181"/>
      <c r="R43" s="181"/>
      <c r="S43" s="181"/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181"/>
      <c r="O44" s="181"/>
      <c r="P44" s="181"/>
      <c r="Q44" s="181"/>
      <c r="R44" s="181"/>
      <c r="S44" s="181"/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181"/>
      <c r="O45" s="181"/>
      <c r="P45" s="181"/>
      <c r="Q45" s="181"/>
      <c r="R45" s="181"/>
      <c r="S45" s="181"/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181"/>
      <c r="O46" s="181"/>
      <c r="P46" s="181"/>
      <c r="Q46" s="181"/>
      <c r="R46" s="181"/>
      <c r="S46" s="181"/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181"/>
      <c r="O47" s="181"/>
      <c r="P47" s="181"/>
      <c r="Q47" s="181"/>
      <c r="R47" s="181"/>
      <c r="S47" s="181"/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1"/>
      <c r="O48" s="181"/>
      <c r="P48" s="181"/>
      <c r="Q48" s="181"/>
      <c r="R48" s="181"/>
      <c r="S48" s="181"/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181"/>
      <c r="O49" s="181"/>
      <c r="P49" s="181"/>
      <c r="Q49" s="181"/>
      <c r="R49" s="181"/>
      <c r="S49" s="181"/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181"/>
      <c r="O50" s="181"/>
      <c r="P50" s="181"/>
      <c r="Q50" s="181"/>
      <c r="R50" s="181"/>
      <c r="S50" s="181"/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181"/>
      <c r="O51" s="181"/>
      <c r="P51" s="181"/>
      <c r="Q51" s="181"/>
      <c r="R51" s="181"/>
      <c r="S51" s="181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181"/>
      <c r="O52" s="181"/>
      <c r="P52" s="181"/>
      <c r="Q52" s="181"/>
      <c r="R52" s="181"/>
      <c r="S52" s="181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181"/>
      <c r="O53" s="181"/>
      <c r="P53" s="181"/>
      <c r="Q53" s="181"/>
      <c r="R53" s="181"/>
      <c r="S53" s="181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181"/>
      <c r="O54" s="181"/>
      <c r="P54" s="181"/>
      <c r="Q54" s="181"/>
      <c r="R54" s="181"/>
      <c r="S54" s="181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181"/>
      <c r="O55" s="181"/>
      <c r="P55" s="181"/>
      <c r="Q55" s="181"/>
      <c r="R55" s="181"/>
      <c r="S55" s="181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181"/>
      <c r="O56" s="181"/>
      <c r="P56" s="181"/>
      <c r="Q56" s="181"/>
      <c r="R56" s="181"/>
      <c r="S56" s="181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181"/>
      <c r="O57" s="181"/>
      <c r="P57" s="181"/>
      <c r="Q57" s="181"/>
      <c r="R57" s="181"/>
      <c r="S57" s="181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181"/>
      <c r="O58" s="181"/>
      <c r="P58" s="181"/>
      <c r="Q58" s="181"/>
      <c r="R58" s="181"/>
      <c r="S58" s="181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181"/>
      <c r="O59" s="181"/>
      <c r="P59" s="181"/>
      <c r="Q59" s="181"/>
      <c r="R59" s="181"/>
      <c r="S59" s="181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181"/>
      <c r="O60" s="181"/>
      <c r="P60" s="181"/>
      <c r="Q60" s="181"/>
      <c r="R60" s="181"/>
      <c r="S60" s="181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181"/>
      <c r="O61" s="181"/>
      <c r="P61" s="181"/>
      <c r="Q61" s="181"/>
      <c r="R61" s="181"/>
      <c r="S61" s="181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181"/>
      <c r="O62" s="181"/>
      <c r="P62" s="181"/>
      <c r="Q62" s="181"/>
      <c r="R62" s="181"/>
      <c r="S62" s="181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181"/>
      <c r="O63" s="181"/>
      <c r="P63" s="181"/>
      <c r="Q63" s="181"/>
      <c r="R63" s="181"/>
      <c r="S63" s="181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181"/>
      <c r="O64" s="181"/>
      <c r="P64" s="181"/>
      <c r="Q64" s="181"/>
      <c r="R64" s="181"/>
      <c r="S64" s="181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181"/>
      <c r="O65" s="181"/>
      <c r="P65" s="181"/>
      <c r="Q65" s="181"/>
      <c r="R65" s="181"/>
      <c r="S65" s="181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181"/>
      <c r="O66" s="181"/>
      <c r="P66" s="181"/>
      <c r="Q66" s="181"/>
      <c r="R66" s="181"/>
      <c r="S66" s="181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181"/>
      <c r="O67" s="181"/>
      <c r="P67" s="181"/>
      <c r="Q67" s="181"/>
      <c r="R67" s="181"/>
      <c r="S67" s="181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181"/>
      <c r="O68" s="181"/>
      <c r="P68" s="181"/>
      <c r="Q68" s="181"/>
      <c r="R68" s="181"/>
      <c r="S68" s="181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181"/>
      <c r="O69" s="181"/>
      <c r="P69" s="181"/>
      <c r="Q69" s="181"/>
      <c r="R69" s="181"/>
      <c r="S69" s="181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181"/>
      <c r="O70" s="181"/>
      <c r="P70" s="181"/>
      <c r="Q70" s="181"/>
      <c r="R70" s="181"/>
      <c r="S70" s="181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181"/>
      <c r="O71" s="181"/>
      <c r="P71" s="181"/>
      <c r="Q71" s="181"/>
      <c r="R71" s="181"/>
      <c r="S71" s="181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181"/>
      <c r="O72" s="181"/>
      <c r="P72" s="181"/>
      <c r="Q72" s="181"/>
      <c r="R72" s="181"/>
      <c r="S72" s="181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181"/>
      <c r="O73" s="181"/>
      <c r="P73" s="181"/>
      <c r="Q73" s="181"/>
      <c r="R73" s="181"/>
      <c r="S73" s="181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181"/>
      <c r="O74" s="181"/>
      <c r="P74" s="181"/>
      <c r="Q74" s="181"/>
      <c r="R74" s="181"/>
      <c r="S74" s="181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181"/>
      <c r="O75" s="181"/>
      <c r="P75" s="181"/>
      <c r="Q75" s="181"/>
      <c r="R75" s="181"/>
      <c r="S75" s="181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181"/>
      <c r="O76" s="181"/>
      <c r="P76" s="181"/>
      <c r="Q76" s="181"/>
      <c r="R76" s="181"/>
      <c r="S76" s="181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181"/>
      <c r="O78" s="181"/>
      <c r="P78" s="181"/>
      <c r="Q78" s="181"/>
      <c r="R78" s="181"/>
      <c r="S78" s="181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181"/>
      <c r="O79" s="181"/>
      <c r="P79" s="181"/>
      <c r="Q79" s="181"/>
      <c r="R79" s="181"/>
      <c r="S79" s="181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181"/>
      <c r="O82" s="181"/>
      <c r="P82" s="181"/>
      <c r="Q82" s="181"/>
      <c r="R82" s="181"/>
      <c r="S82" s="181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181"/>
      <c r="O83" s="181"/>
      <c r="P83" s="181"/>
      <c r="Q83" s="181"/>
      <c r="R83" s="181"/>
      <c r="S83" s="181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181"/>
      <c r="O85" s="181"/>
      <c r="P85" s="181"/>
      <c r="Q85" s="181"/>
      <c r="R85" s="181"/>
      <c r="S85" s="181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181"/>
      <c r="O86" s="181"/>
      <c r="P86" s="181"/>
      <c r="Q86" s="181"/>
      <c r="R86" s="181"/>
      <c r="S86" s="181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181"/>
      <c r="O88" s="181"/>
      <c r="P88" s="181"/>
      <c r="Q88" s="181"/>
      <c r="R88" s="181"/>
      <c r="S88" s="181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181"/>
      <c r="O89" s="181"/>
      <c r="P89" s="181"/>
      <c r="Q89" s="181"/>
      <c r="R89" s="181"/>
      <c r="S89" s="181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181"/>
      <c r="O90" s="181"/>
      <c r="P90" s="181"/>
      <c r="Q90" s="181"/>
      <c r="R90" s="181"/>
      <c r="S90" s="181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181"/>
      <c r="O91" s="181"/>
      <c r="P91" s="181"/>
      <c r="Q91" s="181"/>
      <c r="R91" s="181"/>
      <c r="S91" s="181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181"/>
      <c r="O92" s="181"/>
      <c r="P92" s="181"/>
      <c r="Q92" s="181"/>
      <c r="R92" s="181"/>
      <c r="S92" s="181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181"/>
      <c r="O93" s="181"/>
      <c r="P93" s="181"/>
      <c r="Q93" s="181"/>
      <c r="R93" s="181"/>
      <c r="S93" s="181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181"/>
      <c r="O94" s="181"/>
      <c r="P94" s="181"/>
      <c r="Q94" s="181"/>
      <c r="R94" s="181"/>
      <c r="S94" s="181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181"/>
      <c r="O95" s="181"/>
      <c r="P95" s="181"/>
      <c r="Q95" s="181"/>
      <c r="R95" s="181"/>
      <c r="S95" s="181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181"/>
      <c r="O96" s="181"/>
      <c r="P96" s="181"/>
      <c r="Q96" s="181"/>
      <c r="R96" s="181"/>
      <c r="S96" s="181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181"/>
      <c r="O99" s="181"/>
      <c r="P99" s="181"/>
      <c r="Q99" s="181"/>
      <c r="R99" s="181"/>
      <c r="S99" s="181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181"/>
      <c r="O100" s="181"/>
      <c r="P100" s="181"/>
      <c r="Q100" s="181"/>
      <c r="R100" s="181"/>
      <c r="S100" s="181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181"/>
      <c r="O101" s="181"/>
      <c r="P101" s="181"/>
      <c r="Q101" s="181"/>
      <c r="R101" s="181"/>
      <c r="S101" s="181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181"/>
      <c r="O102" s="181"/>
      <c r="P102" s="181"/>
      <c r="Q102" s="181"/>
      <c r="R102" s="181"/>
      <c r="S102" s="181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181"/>
      <c r="O104" s="181"/>
      <c r="P104" s="181"/>
      <c r="Q104" s="181"/>
      <c r="R104" s="181"/>
      <c r="S104" s="181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181"/>
      <c r="O106" s="181"/>
      <c r="P106" s="181"/>
      <c r="Q106" s="181"/>
      <c r="R106" s="181"/>
      <c r="S106" s="181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181"/>
      <c r="O107" s="181"/>
      <c r="P107" s="181"/>
      <c r="Q107" s="181"/>
      <c r="R107" s="181"/>
      <c r="S107" s="181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181"/>
      <c r="O108" s="181"/>
      <c r="P108" s="181"/>
      <c r="Q108" s="181"/>
      <c r="R108" s="181"/>
      <c r="S108" s="181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181"/>
      <c r="O109" s="181"/>
      <c r="P109" s="181"/>
      <c r="Q109" s="181"/>
      <c r="R109" s="181"/>
      <c r="S109" s="181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181"/>
      <c r="O110" s="181"/>
      <c r="P110" s="181"/>
      <c r="Q110" s="181"/>
      <c r="R110" s="181"/>
      <c r="S110" s="181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181"/>
      <c r="O112" s="181"/>
      <c r="P112" s="181"/>
      <c r="Q112" s="181"/>
      <c r="R112" s="181"/>
      <c r="S112" s="181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181"/>
      <c r="O113" s="181"/>
      <c r="P113" s="181"/>
      <c r="Q113" s="181"/>
      <c r="R113" s="181"/>
      <c r="S113" s="181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181"/>
      <c r="O114" s="181"/>
      <c r="P114" s="181"/>
      <c r="Q114" s="181"/>
      <c r="R114" s="181"/>
      <c r="S114" s="181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181"/>
      <c r="O115" s="181"/>
      <c r="P115" s="181"/>
      <c r="Q115" s="181"/>
      <c r="R115" s="181"/>
      <c r="S115" s="181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181"/>
      <c r="O116" s="181"/>
      <c r="P116" s="181"/>
      <c r="Q116" s="181"/>
      <c r="R116" s="181"/>
      <c r="S116" s="181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181"/>
      <c r="O117" s="181"/>
      <c r="P117" s="181"/>
      <c r="Q117" s="181"/>
      <c r="R117" s="181"/>
      <c r="S117" s="181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181"/>
      <c r="O118" s="181"/>
      <c r="P118" s="181"/>
      <c r="Q118" s="181"/>
      <c r="R118" s="181"/>
      <c r="S118" s="181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181"/>
      <c r="O119" s="181"/>
      <c r="P119" s="181"/>
      <c r="Q119" s="181"/>
      <c r="R119" s="181"/>
      <c r="S119" s="181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181"/>
      <c r="O120" s="181"/>
      <c r="P120" s="181"/>
      <c r="Q120" s="181"/>
      <c r="R120" s="181"/>
      <c r="S120" s="181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181"/>
      <c r="O121" s="181"/>
      <c r="P121" s="181"/>
      <c r="Q121" s="181"/>
      <c r="R121" s="181"/>
      <c r="S121" s="181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181"/>
      <c r="O122" s="181"/>
      <c r="P122" s="181"/>
      <c r="Q122" s="181"/>
      <c r="R122" s="181"/>
      <c r="S122" s="181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181"/>
      <c r="O123" s="181"/>
      <c r="P123" s="181"/>
      <c r="Q123" s="181"/>
      <c r="R123" s="181"/>
      <c r="S123" s="181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181"/>
      <c r="O124" s="181"/>
      <c r="P124" s="181"/>
      <c r="Q124" s="181"/>
      <c r="R124" s="181"/>
      <c r="S124" s="181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181"/>
      <c r="O125" s="181"/>
      <c r="P125" s="181"/>
      <c r="Q125" s="181"/>
      <c r="R125" s="181"/>
      <c r="S125" s="181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181"/>
      <c r="O126" s="181"/>
      <c r="P126" s="181"/>
      <c r="Q126" s="181"/>
      <c r="R126" s="181"/>
      <c r="S126" s="181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181"/>
      <c r="O127" s="181"/>
      <c r="P127" s="181"/>
      <c r="Q127" s="181"/>
      <c r="R127" s="181"/>
      <c r="S127" s="181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181"/>
      <c r="O128" s="181"/>
      <c r="P128" s="181"/>
      <c r="Q128" s="181"/>
      <c r="R128" s="181"/>
      <c r="S128" s="181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181"/>
      <c r="O129" s="181"/>
      <c r="P129" s="181"/>
      <c r="Q129" s="181"/>
      <c r="R129" s="181"/>
      <c r="S129" s="181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181"/>
      <c r="O130" s="181"/>
      <c r="P130" s="181"/>
      <c r="Q130" s="181"/>
      <c r="R130" s="181"/>
      <c r="S130" s="181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181"/>
      <c r="O131" s="181"/>
      <c r="P131" s="181"/>
      <c r="Q131" s="181"/>
      <c r="R131" s="181"/>
      <c r="S131" s="181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181"/>
      <c r="O132" s="181"/>
      <c r="P132" s="181"/>
      <c r="Q132" s="181"/>
      <c r="R132" s="181"/>
      <c r="S132" s="181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181"/>
      <c r="O133" s="181"/>
      <c r="P133" s="181"/>
      <c r="Q133" s="181"/>
      <c r="R133" s="181"/>
      <c r="S133" s="181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181"/>
      <c r="O134" s="181"/>
      <c r="P134" s="181"/>
      <c r="Q134" s="181"/>
      <c r="R134" s="181"/>
      <c r="S134" s="181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181"/>
      <c r="O135" s="181"/>
      <c r="P135" s="181"/>
      <c r="Q135" s="181"/>
      <c r="R135" s="181"/>
      <c r="S135" s="181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181"/>
      <c r="O136" s="181"/>
      <c r="P136" s="181"/>
      <c r="Q136" s="181"/>
      <c r="R136" s="181"/>
      <c r="S136" s="181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181"/>
      <c r="O137" s="181"/>
      <c r="P137" s="181"/>
      <c r="Q137" s="181"/>
      <c r="R137" s="181"/>
      <c r="S137" s="181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181"/>
      <c r="O138" s="181"/>
      <c r="P138" s="181"/>
      <c r="Q138" s="181"/>
      <c r="R138" s="181"/>
      <c r="S138" s="181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181"/>
      <c r="O139" s="181"/>
      <c r="P139" s="181"/>
      <c r="Q139" s="181"/>
      <c r="R139" s="181"/>
      <c r="S139" s="181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181"/>
      <c r="O140" s="181"/>
      <c r="P140" s="181"/>
      <c r="Q140" s="181"/>
      <c r="R140" s="181"/>
      <c r="S140" s="181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181"/>
      <c r="O141" s="181"/>
      <c r="P141" s="181"/>
      <c r="Q141" s="181"/>
      <c r="R141" s="181"/>
      <c r="S141" s="181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181"/>
      <c r="O142" s="181"/>
      <c r="P142" s="181"/>
      <c r="Q142" s="181"/>
      <c r="R142" s="181"/>
      <c r="S142" s="181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181"/>
      <c r="O143" s="181"/>
      <c r="P143" s="181"/>
      <c r="Q143" s="181"/>
      <c r="R143" s="181"/>
      <c r="S143" s="181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181"/>
      <c r="O144" s="181"/>
      <c r="P144" s="181"/>
      <c r="Q144" s="181"/>
      <c r="R144" s="181"/>
      <c r="S144" s="181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181"/>
      <c r="O145" s="181"/>
      <c r="P145" s="181"/>
      <c r="Q145" s="181"/>
      <c r="R145" s="181"/>
      <c r="S145" s="181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181"/>
      <c r="O147" s="181"/>
      <c r="P147" s="181"/>
      <c r="Q147" s="181"/>
      <c r="R147" s="181"/>
      <c r="S147" s="181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181"/>
      <c r="O148" s="181"/>
      <c r="P148" s="181"/>
      <c r="Q148" s="181"/>
      <c r="R148" s="181"/>
      <c r="S148" s="181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</sheetData>
  <autoFilter ref="F9:K11"/>
  <mergeCells count="5">
    <mergeCell ref="B4:C5"/>
    <mergeCell ref="K6:N6"/>
    <mergeCell ref="O6:R6"/>
    <mergeCell ref="E2:K2"/>
    <mergeCell ref="F7:K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A125"/>
  <sheetViews>
    <sheetView tabSelected="1" topLeftCell="C1" zoomScale="70" zoomScaleNormal="70" workbookViewId="0">
      <selection activeCell="K9" sqref="K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5.5703125" style="41" customWidth="1"/>
    <col min="8" max="8" width="4.140625" style="41" customWidth="1"/>
    <col min="9" max="9" width="8.140625" style="41" customWidth="1"/>
    <col min="10" max="10" width="4.140625" style="41" customWidth="1"/>
    <col min="11" max="12" width="35.5703125" style="41" customWidth="1"/>
    <col min="13" max="13" width="4.140625" style="41" customWidth="1"/>
    <col min="14" max="14" width="2.85546875" style="41" customWidth="1"/>
    <col min="15" max="15" width="6.42578125" style="41" customWidth="1"/>
    <col min="16" max="16" width="30.85546875" style="41" customWidth="1"/>
    <col min="17" max="17" width="3.5703125" style="41" customWidth="1"/>
    <col min="18" max="18" width="12.5703125" style="41"/>
    <col min="19" max="19" width="23" style="41" customWidth="1"/>
    <col min="20" max="20" width="5.7109375" style="41" customWidth="1"/>
    <col min="21" max="21" width="12.5703125" style="41"/>
    <col min="22" max="22" width="21.140625" style="41" customWidth="1"/>
    <col min="23" max="23" width="6.28515625" style="41" customWidth="1"/>
    <col min="24" max="24" width="12.5703125" style="41"/>
    <col min="25" max="25" width="24.28515625" style="41" customWidth="1"/>
    <col min="26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198" t="s">
        <v>83</v>
      </c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195" t="s">
        <v>72</v>
      </c>
      <c r="C4" s="195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195"/>
      <c r="C5" s="195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259"/>
    </row>
    <row r="7" spans="1:27" ht="18.95" customHeight="1">
      <c r="A7" s="62"/>
      <c r="B7" s="62"/>
      <c r="C7" s="99" t="s">
        <v>38</v>
      </c>
      <c r="D7" s="81"/>
      <c r="E7" s="120"/>
      <c r="F7" s="224" t="s">
        <v>41</v>
      </c>
      <c r="G7" s="224"/>
      <c r="H7" s="127"/>
      <c r="I7" s="155"/>
      <c r="J7" s="120"/>
      <c r="K7" s="224" t="s">
        <v>96</v>
      </c>
      <c r="L7" s="224"/>
      <c r="M7" s="127"/>
      <c r="N7" s="81"/>
    </row>
    <row r="8" spans="1:27" ht="20.100000000000001" customHeight="1">
      <c r="A8" s="62"/>
      <c r="B8" s="62"/>
      <c r="C8" s="99" t="s">
        <v>39</v>
      </c>
      <c r="D8" s="81"/>
      <c r="E8" s="128"/>
      <c r="F8" s="124" t="s">
        <v>84</v>
      </c>
      <c r="G8" s="138" t="e">
        <f>#REF!</f>
        <v>#REF!</v>
      </c>
      <c r="H8" s="129"/>
      <c r="I8" s="85"/>
      <c r="J8" s="128"/>
      <c r="K8" s="124" t="s">
        <v>84</v>
      </c>
      <c r="L8" s="138" t="str">
        <f ca="1">PENGATURAN!B39</f>
        <v>11 October 2024</v>
      </c>
      <c r="M8" s="129"/>
      <c r="N8" s="193"/>
      <c r="O8" s="232" t="s">
        <v>116</v>
      </c>
      <c r="P8" s="233"/>
      <c r="Q8" s="114"/>
      <c r="R8" s="234" t="s">
        <v>2</v>
      </c>
      <c r="S8" s="235"/>
      <c r="T8" s="87"/>
      <c r="U8" s="232" t="s">
        <v>3</v>
      </c>
      <c r="V8" s="236"/>
      <c r="W8" s="87"/>
      <c r="X8" s="193"/>
      <c r="Y8" s="193"/>
    </row>
    <row r="9" spans="1:27" ht="20.100000000000001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110" t="s">
        <v>69</v>
      </c>
      <c r="Q9" s="87"/>
      <c r="R9" s="93" t="s">
        <v>68</v>
      </c>
      <c r="S9" s="94" t="s">
        <v>69</v>
      </c>
      <c r="T9" s="87"/>
      <c r="U9" s="90" t="s">
        <v>68</v>
      </c>
      <c r="V9" s="92" t="s">
        <v>69</v>
      </c>
      <c r="W9" s="87"/>
      <c r="X9" s="193"/>
      <c r="Y9" s="193"/>
      <c r="Z9" s="193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91">
        <v>0.5</v>
      </c>
      <c r="V10" s="112" t="s">
        <v>70</v>
      </c>
      <c r="W10" s="87"/>
      <c r="X10" s="193"/>
      <c r="Y10" s="193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32" t="s">
        <v>4</v>
      </c>
      <c r="P12" s="233"/>
      <c r="Q12" s="114"/>
      <c r="R12" s="234" t="s">
        <v>5</v>
      </c>
      <c r="S12" s="235"/>
      <c r="T12" s="87"/>
      <c r="U12" s="232" t="s">
        <v>6</v>
      </c>
      <c r="V12" s="236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90" t="s">
        <v>68</v>
      </c>
      <c r="P13" s="110" t="s">
        <v>69</v>
      </c>
      <c r="Q13" s="87"/>
      <c r="R13" s="93" t="s">
        <v>68</v>
      </c>
      <c r="S13" s="94" t="s">
        <v>69</v>
      </c>
      <c r="T13" s="87"/>
      <c r="U13" s="90" t="s">
        <v>68</v>
      </c>
      <c r="V13" s="92" t="s">
        <v>69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91">
        <v>0.5</v>
      </c>
      <c r="P14" s="112" t="s">
        <v>70</v>
      </c>
      <c r="Q14" s="87"/>
      <c r="R14" s="95">
        <v>0.5</v>
      </c>
      <c r="S14" s="111" t="s">
        <v>70</v>
      </c>
      <c r="T14" s="87"/>
      <c r="U14" s="91">
        <v>0.5</v>
      </c>
      <c r="V14" s="112" t="s">
        <v>70</v>
      </c>
      <c r="W14" s="87"/>
      <c r="X14" s="193"/>
      <c r="Y14" s="193"/>
      <c r="Z14" s="80"/>
      <c r="AA14" s="80"/>
    </row>
    <row r="15" spans="1:27" ht="24.6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32" t="s">
        <v>117</v>
      </c>
      <c r="P16" s="233"/>
      <c r="Q16" s="114"/>
      <c r="R16" s="234" t="s">
        <v>32</v>
      </c>
      <c r="S16" s="235"/>
      <c r="T16" s="87"/>
      <c r="U16" s="232" t="s">
        <v>33</v>
      </c>
      <c r="V16" s="236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110" t="s">
        <v>69</v>
      </c>
      <c r="Q17" s="87"/>
      <c r="R17" s="93" t="s">
        <v>68</v>
      </c>
      <c r="S17" s="260">
        <f>PENGATURAN!C24</f>
        <v>105000</v>
      </c>
      <c r="T17" s="87"/>
      <c r="U17" s="90" t="s">
        <v>68</v>
      </c>
      <c r="V17" s="92" t="s">
        <v>69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24" t="s">
        <v>93</v>
      </c>
      <c r="G18" s="224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91">
        <v>0.5</v>
      </c>
      <c r="V18" s="112" t="s">
        <v>70</v>
      </c>
      <c r="W18" s="87"/>
      <c r="X18" s="193"/>
      <c r="Y18" s="193"/>
      <c r="Z18" s="80"/>
      <c r="AA18" s="80"/>
    </row>
    <row r="19" spans="1:27" ht="20.100000000000001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11 October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00000000000001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32" t="s">
        <v>35</v>
      </c>
      <c r="P20" s="233"/>
      <c r="Q20" s="114"/>
      <c r="R20" s="234" t="s">
        <v>12</v>
      </c>
      <c r="S20" s="235"/>
      <c r="T20" s="87"/>
      <c r="U20" s="232" t="s">
        <v>118</v>
      </c>
      <c r="V20" s="236"/>
      <c r="W20" s="141"/>
      <c r="X20" s="141"/>
      <c r="Y20" s="141"/>
      <c r="Z20" s="141"/>
      <c r="AA20" s="80"/>
    </row>
    <row r="21" spans="1:27" ht="20.100000000000001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90" t="s">
        <v>68</v>
      </c>
      <c r="P21" s="110" t="s">
        <v>69</v>
      </c>
      <c r="Q21" s="87"/>
      <c r="R21" s="93" t="s">
        <v>68</v>
      </c>
      <c r="S21" s="94" t="s">
        <v>69</v>
      </c>
      <c r="T21" s="87"/>
      <c r="U21" s="90" t="s">
        <v>68</v>
      </c>
      <c r="V21" s="92" t="s">
        <v>69</v>
      </c>
      <c r="W21" s="141"/>
      <c r="X21" s="141"/>
      <c r="Y21" s="141"/>
      <c r="Z21" s="141"/>
      <c r="AA21" s="80"/>
    </row>
    <row r="22" spans="1:27" ht="20.100000000000001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91">
        <v>0.5</v>
      </c>
      <c r="P22" s="112" t="s">
        <v>70</v>
      </c>
      <c r="Q22" s="87"/>
      <c r="R22" s="95">
        <v>0.5</v>
      </c>
      <c r="S22" s="111" t="s">
        <v>70</v>
      </c>
      <c r="T22" s="87"/>
      <c r="U22" s="91">
        <v>0.5</v>
      </c>
      <c r="V22" s="112" t="s">
        <v>70</v>
      </c>
      <c r="W22" s="141"/>
      <c r="X22" s="141"/>
      <c r="Y22" s="141"/>
      <c r="Z22" s="141"/>
      <c r="AA22" s="80"/>
    </row>
    <row r="23" spans="1:27" ht="20.100000000000001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03" t="s">
        <v>16</v>
      </c>
      <c r="I61" s="203"/>
      <c r="J61" s="203"/>
      <c r="K61" s="203"/>
      <c r="L61" s="203"/>
      <c r="M61" s="203"/>
      <c r="N61" s="203"/>
      <c r="O61" s="203"/>
      <c r="P61" s="203"/>
      <c r="Q61" s="203"/>
      <c r="R61" s="203"/>
      <c r="S61" s="203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02" t="s">
        <v>15</v>
      </c>
      <c r="H86" s="202"/>
      <c r="I86" s="202"/>
      <c r="J86" s="202"/>
      <c r="K86" s="43"/>
      <c r="L86" s="43"/>
      <c r="N86" s="204" t="s">
        <v>11</v>
      </c>
      <c r="O86" s="204"/>
      <c r="P86" s="204"/>
      <c r="Q86" s="204"/>
      <c r="R86" s="204"/>
      <c r="S86" s="204"/>
      <c r="U86" s="204" t="s">
        <v>28</v>
      </c>
      <c r="V86" s="204"/>
      <c r="W86" s="204"/>
      <c r="X86" s="204"/>
      <c r="Y86" s="204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04"/>
      <c r="O87" s="204"/>
      <c r="P87" s="204"/>
      <c r="Q87" s="204"/>
      <c r="R87" s="204"/>
      <c r="S87" s="204"/>
      <c r="U87" s="204"/>
      <c r="V87" s="204"/>
      <c r="W87" s="204"/>
      <c r="X87" s="204"/>
      <c r="Y87" s="204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05">
        <v>6000000</v>
      </c>
      <c r="O88" s="206"/>
      <c r="P88" s="206"/>
      <c r="Q88" s="206"/>
      <c r="R88" s="206"/>
      <c r="S88" s="207"/>
      <c r="U88" s="205">
        <v>6000000</v>
      </c>
      <c r="V88" s="206"/>
      <c r="W88" s="206"/>
      <c r="X88" s="206"/>
      <c r="Y88" s="207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08"/>
      <c r="O89" s="209"/>
      <c r="P89" s="209"/>
      <c r="Q89" s="209"/>
      <c r="R89" s="209"/>
      <c r="S89" s="210"/>
      <c r="U89" s="208"/>
      <c r="V89" s="209"/>
      <c r="W89" s="209"/>
      <c r="X89" s="209"/>
      <c r="Y89" s="210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08"/>
      <c r="O90" s="209"/>
      <c r="P90" s="209"/>
      <c r="Q90" s="209"/>
      <c r="R90" s="209"/>
      <c r="S90" s="210"/>
      <c r="U90" s="208"/>
      <c r="V90" s="209"/>
      <c r="W90" s="209"/>
      <c r="X90" s="209"/>
      <c r="Y90" s="210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08"/>
      <c r="O91" s="209"/>
      <c r="P91" s="209"/>
      <c r="Q91" s="209"/>
      <c r="R91" s="209"/>
      <c r="S91" s="210"/>
      <c r="U91" s="208"/>
      <c r="V91" s="209"/>
      <c r="W91" s="209"/>
      <c r="X91" s="209"/>
      <c r="Y91" s="210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08"/>
      <c r="O92" s="209"/>
      <c r="P92" s="209"/>
      <c r="Q92" s="209"/>
      <c r="R92" s="209"/>
      <c r="S92" s="210"/>
      <c r="U92" s="208"/>
      <c r="V92" s="209"/>
      <c r="W92" s="209"/>
      <c r="X92" s="209"/>
      <c r="Y92" s="210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08"/>
      <c r="O93" s="209"/>
      <c r="P93" s="209"/>
      <c r="Q93" s="209"/>
      <c r="R93" s="209"/>
      <c r="S93" s="210"/>
      <c r="U93" s="208"/>
      <c r="V93" s="209"/>
      <c r="W93" s="209"/>
      <c r="X93" s="209"/>
      <c r="Y93" s="210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08"/>
      <c r="O94" s="209"/>
      <c r="P94" s="209"/>
      <c r="Q94" s="209"/>
      <c r="R94" s="209"/>
      <c r="S94" s="210"/>
      <c r="U94" s="208"/>
      <c r="V94" s="209"/>
      <c r="W94" s="209"/>
      <c r="X94" s="209"/>
      <c r="Y94" s="21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11"/>
      <c r="O95" s="212"/>
      <c r="P95" s="212"/>
      <c r="Q95" s="212"/>
      <c r="R95" s="212"/>
      <c r="S95" s="213"/>
      <c r="U95" s="211"/>
      <c r="V95" s="212"/>
      <c r="W95" s="212"/>
      <c r="X95" s="212"/>
      <c r="Y95" s="213"/>
    </row>
    <row r="97" spans="7:25" ht="15.75" customHeight="1">
      <c r="G97" s="214" t="s">
        <v>12</v>
      </c>
      <c r="H97" s="214"/>
      <c r="I97" s="214"/>
      <c r="J97" s="214"/>
      <c r="K97" s="214"/>
      <c r="L97" s="101"/>
      <c r="N97" s="204" t="s">
        <v>29</v>
      </c>
      <c r="O97" s="204"/>
      <c r="P97" s="204"/>
      <c r="Q97" s="204"/>
      <c r="R97" s="204"/>
      <c r="S97" s="204"/>
      <c r="U97" s="215" t="s">
        <v>27</v>
      </c>
      <c r="V97" s="216"/>
      <c r="W97" s="216"/>
      <c r="X97" s="216"/>
      <c r="Y97" s="217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04"/>
      <c r="O98" s="204"/>
      <c r="P98" s="204"/>
      <c r="Q98" s="204"/>
      <c r="R98" s="204"/>
      <c r="S98" s="204"/>
      <c r="U98" s="218"/>
      <c r="V98" s="219"/>
      <c r="W98" s="219"/>
      <c r="X98" s="219"/>
      <c r="Y98" s="220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05">
        <v>6000000</v>
      </c>
      <c r="O99" s="206"/>
      <c r="P99" s="206"/>
      <c r="Q99" s="206"/>
      <c r="R99" s="206"/>
      <c r="S99" s="207"/>
      <c r="U99" s="205">
        <v>6000000</v>
      </c>
      <c r="V99" s="206"/>
      <c r="W99" s="206"/>
      <c r="X99" s="206"/>
      <c r="Y99" s="207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08"/>
      <c r="O100" s="209"/>
      <c r="P100" s="209"/>
      <c r="Q100" s="209"/>
      <c r="R100" s="209"/>
      <c r="S100" s="210"/>
      <c r="U100" s="208"/>
      <c r="V100" s="209"/>
      <c r="W100" s="209"/>
      <c r="X100" s="209"/>
      <c r="Y100" s="210"/>
    </row>
    <row r="101" spans="7:25" ht="15.75" customHeight="1">
      <c r="G101" s="77"/>
      <c r="H101" s="50"/>
      <c r="I101" s="50"/>
      <c r="J101" s="77"/>
      <c r="K101" s="45"/>
      <c r="L101" s="102"/>
      <c r="N101" s="208"/>
      <c r="O101" s="209"/>
      <c r="P101" s="209"/>
      <c r="Q101" s="209"/>
      <c r="R101" s="209"/>
      <c r="S101" s="210"/>
      <c r="U101" s="208"/>
      <c r="V101" s="209"/>
      <c r="W101" s="209"/>
      <c r="X101" s="209"/>
      <c r="Y101" s="210"/>
    </row>
    <row r="102" spans="7:25" ht="15.75" customHeight="1">
      <c r="G102" s="51"/>
      <c r="H102" s="51"/>
      <c r="I102" s="51"/>
      <c r="J102" s="52"/>
      <c r="K102" s="52"/>
      <c r="L102" s="104"/>
      <c r="N102" s="208"/>
      <c r="O102" s="209"/>
      <c r="P102" s="209"/>
      <c r="Q102" s="209"/>
      <c r="R102" s="209"/>
      <c r="S102" s="210"/>
      <c r="U102" s="208"/>
      <c r="V102" s="209"/>
      <c r="W102" s="209"/>
      <c r="X102" s="209"/>
      <c r="Y102" s="210"/>
    </row>
    <row r="103" spans="7:25" ht="15.75" customHeight="1">
      <c r="G103" s="51"/>
      <c r="H103" s="51"/>
      <c r="I103" s="51"/>
      <c r="J103" s="52"/>
      <c r="K103" s="52"/>
      <c r="L103" s="104"/>
      <c r="N103" s="208"/>
      <c r="O103" s="209"/>
      <c r="P103" s="209"/>
      <c r="Q103" s="209"/>
      <c r="R103" s="209"/>
      <c r="S103" s="210"/>
      <c r="U103" s="208"/>
      <c r="V103" s="209"/>
      <c r="W103" s="209"/>
      <c r="X103" s="209"/>
      <c r="Y103" s="210"/>
    </row>
    <row r="104" spans="7:25" ht="15.75" customHeight="1">
      <c r="G104" s="51"/>
      <c r="H104" s="51"/>
      <c r="I104" s="51"/>
      <c r="J104" s="52"/>
      <c r="K104" s="52"/>
      <c r="L104" s="104"/>
      <c r="N104" s="208"/>
      <c r="O104" s="209"/>
      <c r="P104" s="209"/>
      <c r="Q104" s="209"/>
      <c r="R104" s="209"/>
      <c r="S104" s="210"/>
      <c r="U104" s="208"/>
      <c r="V104" s="209"/>
      <c r="W104" s="209"/>
      <c r="X104" s="209"/>
      <c r="Y104" s="21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08"/>
      <c r="O105" s="209"/>
      <c r="P105" s="209"/>
      <c r="Q105" s="209"/>
      <c r="R105" s="209"/>
      <c r="S105" s="210"/>
      <c r="U105" s="208"/>
      <c r="V105" s="209"/>
      <c r="W105" s="209"/>
      <c r="X105" s="209"/>
      <c r="Y105" s="210"/>
    </row>
    <row r="106" spans="7:25" ht="15.75" customHeight="1">
      <c r="N106" s="211"/>
      <c r="O106" s="212"/>
      <c r="P106" s="212"/>
      <c r="Q106" s="212"/>
      <c r="R106" s="212"/>
      <c r="S106" s="213"/>
      <c r="U106" s="211"/>
      <c r="V106" s="212"/>
      <c r="W106" s="212"/>
      <c r="X106" s="212"/>
      <c r="Y106" s="213"/>
    </row>
    <row r="108" spans="7:25" ht="15.75" customHeight="1">
      <c r="G108" s="202" t="s">
        <v>31</v>
      </c>
      <c r="H108" s="202"/>
      <c r="I108" s="202"/>
      <c r="J108" s="202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29">
    <mergeCell ref="O20:P20"/>
    <mergeCell ref="R20:S20"/>
    <mergeCell ref="U20:V20"/>
    <mergeCell ref="R12:S12"/>
    <mergeCell ref="U12:V12"/>
    <mergeCell ref="O16:P16"/>
    <mergeCell ref="R16:S16"/>
    <mergeCell ref="U16:V16"/>
    <mergeCell ref="R8:S8"/>
    <mergeCell ref="U8:V8"/>
    <mergeCell ref="F18:G18"/>
    <mergeCell ref="F7:G7"/>
    <mergeCell ref="E2:P2"/>
    <mergeCell ref="B4:C5"/>
    <mergeCell ref="K7:L7"/>
    <mergeCell ref="O8:P8"/>
    <mergeCell ref="O12:P12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CommandButton2">
          <controlPr defaultSize="0" autoLine="0" r:id="rId5">
            <anchor moveWithCells="1">
              <from>
                <xdr:col>10</xdr:col>
                <xdr:colOff>19050</xdr:colOff>
                <xdr:row>13</xdr:row>
                <xdr:rowOff>85725</xdr:rowOff>
              </from>
              <to>
                <xdr:col>12</xdr:col>
                <xdr:colOff>238125</xdr:colOff>
                <xdr:row>15</xdr:row>
                <xdr:rowOff>85725</xdr:rowOff>
              </to>
            </anchor>
          </controlPr>
        </control>
      </mc:Choice>
      <mc:Fallback>
        <control shapeId="5129" r:id="rId4" name="CommandButton2"/>
      </mc:Fallback>
    </mc:AlternateContent>
    <mc:AlternateContent xmlns:mc="http://schemas.openxmlformats.org/markup-compatibility/2006">
      <mc:Choice Requires="x14">
        <control shapeId="5122" r:id="rId6" name="CommandButton1">
          <controlPr defaultSize="0" autoLine="0" r:id="rId7">
            <anchor moveWithCells="1">
              <from>
                <xdr:col>5</xdr:col>
                <xdr:colOff>9525</xdr:colOff>
                <xdr:row>12</xdr:row>
                <xdr:rowOff>66675</xdr:rowOff>
              </from>
              <to>
                <xdr:col>7</xdr:col>
                <xdr:colOff>228600</xdr:colOff>
                <xdr:row>14</xdr:row>
                <xdr:rowOff>19050</xdr:rowOff>
              </to>
            </anchor>
          </controlPr>
        </control>
      </mc:Choice>
      <mc:Fallback>
        <control shapeId="5122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PENGATURAN!$B$21:$B$27</xm:f>
          </x14:formula1>
          <xm:sqref>G22</xm:sqref>
        </x14:dataValidation>
        <x14:dataValidation type="list" allowBlank="1" showInputMessage="1" showErrorMessage="1">
          <x14:formula1>
            <xm:f>PENGATURAN!$B$21:$B$32</xm:f>
          </x14:formula1>
          <xm:sqref>G11:G12 L11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AB125"/>
  <sheetViews>
    <sheetView topLeftCell="C5" zoomScale="70" zoomScaleNormal="70" workbookViewId="0">
      <selection activeCell="F53" sqref="F53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23.85546875" style="41" customWidth="1"/>
    <col min="15" max="15" width="2.85546875" style="41" customWidth="1"/>
    <col min="16" max="16" width="6.42578125" style="41" customWidth="1"/>
    <col min="17" max="17" width="25.42578125" style="41" customWidth="1"/>
    <col min="18" max="18" width="3.5703125" style="41" customWidth="1"/>
    <col min="19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198" t="s">
        <v>97</v>
      </c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198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5.95" customHeight="1">
      <c r="A4" s="62"/>
      <c r="B4" s="195" t="s">
        <v>72</v>
      </c>
      <c r="C4" s="195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195"/>
      <c r="C5" s="195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196"/>
      <c r="L6" s="225"/>
      <c r="M6" s="225"/>
      <c r="N6" s="225"/>
      <c r="O6" s="196"/>
      <c r="P6" s="196"/>
      <c r="Q6" s="225"/>
      <c r="R6" s="226"/>
      <c r="S6" s="221"/>
      <c r="T6" s="222"/>
      <c r="U6" s="222"/>
      <c r="V6" s="223"/>
      <c r="W6" s="222"/>
      <c r="X6" s="222"/>
      <c r="Y6" s="221"/>
      <c r="Z6" s="222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199" t="s">
        <v>42</v>
      </c>
      <c r="G7" s="200"/>
      <c r="H7" s="200"/>
      <c r="I7" s="200"/>
      <c r="J7" s="200"/>
      <c r="K7" s="201"/>
      <c r="L7" s="158"/>
      <c r="M7" s="227" t="s">
        <v>66</v>
      </c>
      <c r="N7" s="227"/>
      <c r="O7" s="42"/>
      <c r="P7" s="228">
        <v>2025</v>
      </c>
      <c r="Q7" s="228"/>
      <c r="R7" s="76"/>
      <c r="X7" s="155"/>
      <c r="Y7" s="155"/>
      <c r="Z7" s="155"/>
      <c r="AA7" s="155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58"/>
      <c r="M9" s="183">
        <v>45566</v>
      </c>
      <c r="N9" s="164" t="s">
        <v>104</v>
      </c>
      <c r="O9" s="184">
        <v>1223123</v>
      </c>
      <c r="P9" s="164" t="s">
        <v>3</v>
      </c>
      <c r="Q9" s="177" t="s">
        <v>106</v>
      </c>
      <c r="R9" s="185" t="s">
        <v>105</v>
      </c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58"/>
      <c r="M10" s="183"/>
      <c r="N10" s="182"/>
      <c r="O10" s="184"/>
      <c r="P10" s="182"/>
      <c r="Q10" s="186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58"/>
      <c r="M11" s="148"/>
      <c r="N11" s="149"/>
      <c r="O11" s="158"/>
      <c r="P11" s="148"/>
      <c r="Q11" s="149"/>
      <c r="R11" s="129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>
        <v>45576</v>
      </c>
      <c r="G12" s="187">
        <v>1</v>
      </c>
      <c r="H12" s="184">
        <v>1</v>
      </c>
      <c r="I12" s="187" t="s">
        <v>4</v>
      </c>
      <c r="J12" s="188">
        <v>1</v>
      </c>
      <c r="K12" s="185">
        <v>1</v>
      </c>
      <c r="L12" s="158"/>
      <c r="M12" s="158"/>
      <c r="N12" s="158"/>
      <c r="O12" s="158"/>
      <c r="P12" s="158"/>
      <c r="Q12" s="176"/>
      <c r="R12" s="129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>
        <v>45576</v>
      </c>
      <c r="G13" s="164" t="s">
        <v>113</v>
      </c>
      <c r="H13" s="184">
        <v>30000</v>
      </c>
      <c r="I13" s="164" t="s">
        <v>32</v>
      </c>
      <c r="J13" s="177" t="s">
        <v>102</v>
      </c>
      <c r="K13" s="185" t="s">
        <v>114</v>
      </c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>
        <v>45576</v>
      </c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03" t="s">
        <v>16</v>
      </c>
      <c r="I61" s="203"/>
      <c r="J61" s="203"/>
      <c r="K61" s="203"/>
      <c r="L61" s="203"/>
      <c r="M61" s="203"/>
      <c r="N61" s="203"/>
      <c r="O61" s="203"/>
      <c r="P61" s="203"/>
      <c r="Q61" s="203"/>
      <c r="R61" s="203"/>
      <c r="S61" s="203"/>
      <c r="T61" s="203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02" t="s">
        <v>15</v>
      </c>
      <c r="H86" s="202"/>
      <c r="I86" s="202"/>
      <c r="J86" s="202"/>
      <c r="K86" s="202"/>
      <c r="L86" s="43"/>
      <c r="M86" s="43"/>
      <c r="O86" s="204" t="s">
        <v>11</v>
      </c>
      <c r="P86" s="204"/>
      <c r="Q86" s="204"/>
      <c r="R86" s="204"/>
      <c r="S86" s="204"/>
      <c r="T86" s="204"/>
      <c r="V86" s="204" t="s">
        <v>28</v>
      </c>
      <c r="W86" s="204"/>
      <c r="X86" s="204"/>
      <c r="Y86" s="204"/>
      <c r="Z86" s="204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04"/>
      <c r="P87" s="204"/>
      <c r="Q87" s="204"/>
      <c r="R87" s="204"/>
      <c r="S87" s="204"/>
      <c r="T87" s="204"/>
      <c r="V87" s="204"/>
      <c r="W87" s="204"/>
      <c r="X87" s="204"/>
      <c r="Y87" s="204"/>
      <c r="Z87" s="204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05">
        <v>6000000</v>
      </c>
      <c r="P88" s="206"/>
      <c r="Q88" s="206"/>
      <c r="R88" s="206"/>
      <c r="S88" s="206"/>
      <c r="T88" s="207"/>
      <c r="V88" s="205">
        <v>6000000</v>
      </c>
      <c r="W88" s="206"/>
      <c r="X88" s="206"/>
      <c r="Y88" s="206"/>
      <c r="Z88" s="207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08"/>
      <c r="P89" s="209"/>
      <c r="Q89" s="209"/>
      <c r="R89" s="209"/>
      <c r="S89" s="209"/>
      <c r="T89" s="210"/>
      <c r="V89" s="208"/>
      <c r="W89" s="209"/>
      <c r="X89" s="209"/>
      <c r="Y89" s="209"/>
      <c r="Z89" s="210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08"/>
      <c r="P90" s="209"/>
      <c r="Q90" s="209"/>
      <c r="R90" s="209"/>
      <c r="S90" s="209"/>
      <c r="T90" s="210"/>
      <c r="V90" s="208"/>
      <c r="W90" s="209"/>
      <c r="X90" s="209"/>
      <c r="Y90" s="209"/>
      <c r="Z90" s="210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08"/>
      <c r="P91" s="209"/>
      <c r="Q91" s="209"/>
      <c r="R91" s="209"/>
      <c r="S91" s="209"/>
      <c r="T91" s="210"/>
      <c r="V91" s="208"/>
      <c r="W91" s="209"/>
      <c r="X91" s="209"/>
      <c r="Y91" s="209"/>
      <c r="Z91" s="210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08"/>
      <c r="P92" s="209"/>
      <c r="Q92" s="209"/>
      <c r="R92" s="209"/>
      <c r="S92" s="209"/>
      <c r="T92" s="210"/>
      <c r="V92" s="208"/>
      <c r="W92" s="209"/>
      <c r="X92" s="209"/>
      <c r="Y92" s="209"/>
      <c r="Z92" s="210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08"/>
      <c r="P93" s="209"/>
      <c r="Q93" s="209"/>
      <c r="R93" s="209"/>
      <c r="S93" s="209"/>
      <c r="T93" s="210"/>
      <c r="V93" s="208"/>
      <c r="W93" s="209"/>
      <c r="X93" s="209"/>
      <c r="Y93" s="209"/>
      <c r="Z93" s="210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08"/>
      <c r="P94" s="209"/>
      <c r="Q94" s="209"/>
      <c r="R94" s="209"/>
      <c r="S94" s="209"/>
      <c r="T94" s="210"/>
      <c r="V94" s="208"/>
      <c r="W94" s="209"/>
      <c r="X94" s="209"/>
      <c r="Y94" s="209"/>
      <c r="Z94" s="210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11"/>
      <c r="P95" s="212"/>
      <c r="Q95" s="212"/>
      <c r="R95" s="212"/>
      <c r="S95" s="212"/>
      <c r="T95" s="213"/>
      <c r="V95" s="211"/>
      <c r="W95" s="212"/>
      <c r="X95" s="212"/>
      <c r="Y95" s="212"/>
      <c r="Z95" s="213"/>
    </row>
    <row r="97" spans="7:26" ht="15.75" customHeight="1">
      <c r="G97" s="214" t="s">
        <v>12</v>
      </c>
      <c r="H97" s="214"/>
      <c r="I97" s="214"/>
      <c r="J97" s="214"/>
      <c r="K97" s="214"/>
      <c r="L97" s="214"/>
      <c r="M97" s="101"/>
      <c r="O97" s="204" t="s">
        <v>29</v>
      </c>
      <c r="P97" s="204"/>
      <c r="Q97" s="204"/>
      <c r="R97" s="204"/>
      <c r="S97" s="204"/>
      <c r="T97" s="204"/>
      <c r="V97" s="215" t="s">
        <v>27</v>
      </c>
      <c r="W97" s="216"/>
      <c r="X97" s="216"/>
      <c r="Y97" s="216"/>
      <c r="Z97" s="217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04"/>
      <c r="P98" s="204"/>
      <c r="Q98" s="204"/>
      <c r="R98" s="204"/>
      <c r="S98" s="204"/>
      <c r="T98" s="204"/>
      <c r="V98" s="218"/>
      <c r="W98" s="219"/>
      <c r="X98" s="219"/>
      <c r="Y98" s="219"/>
      <c r="Z98" s="220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05">
        <v>6000000</v>
      </c>
      <c r="P99" s="206"/>
      <c r="Q99" s="206"/>
      <c r="R99" s="206"/>
      <c r="S99" s="206"/>
      <c r="T99" s="207"/>
      <c r="V99" s="205">
        <v>6000000</v>
      </c>
      <c r="W99" s="206"/>
      <c r="X99" s="206"/>
      <c r="Y99" s="206"/>
      <c r="Z99" s="207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08"/>
      <c r="P100" s="209"/>
      <c r="Q100" s="209"/>
      <c r="R100" s="209"/>
      <c r="S100" s="209"/>
      <c r="T100" s="210"/>
      <c r="V100" s="208"/>
      <c r="W100" s="209"/>
      <c r="X100" s="209"/>
      <c r="Y100" s="209"/>
      <c r="Z100" s="210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08"/>
      <c r="P101" s="209"/>
      <c r="Q101" s="209"/>
      <c r="R101" s="209"/>
      <c r="S101" s="209"/>
      <c r="T101" s="210"/>
      <c r="V101" s="208"/>
      <c r="W101" s="209"/>
      <c r="X101" s="209"/>
      <c r="Y101" s="209"/>
      <c r="Z101" s="210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08"/>
      <c r="P102" s="209"/>
      <c r="Q102" s="209"/>
      <c r="R102" s="209"/>
      <c r="S102" s="209"/>
      <c r="T102" s="210"/>
      <c r="V102" s="208"/>
      <c r="W102" s="209"/>
      <c r="X102" s="209"/>
      <c r="Y102" s="209"/>
      <c r="Z102" s="210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08"/>
      <c r="P103" s="209"/>
      <c r="Q103" s="209"/>
      <c r="R103" s="209"/>
      <c r="S103" s="209"/>
      <c r="T103" s="210"/>
      <c r="V103" s="208"/>
      <c r="W103" s="209"/>
      <c r="X103" s="209"/>
      <c r="Y103" s="209"/>
      <c r="Z103" s="210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08"/>
      <c r="P104" s="209"/>
      <c r="Q104" s="209"/>
      <c r="R104" s="209"/>
      <c r="S104" s="209"/>
      <c r="T104" s="210"/>
      <c r="V104" s="208"/>
      <c r="W104" s="209"/>
      <c r="X104" s="209"/>
      <c r="Y104" s="209"/>
      <c r="Z104" s="210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08"/>
      <c r="P105" s="209"/>
      <c r="Q105" s="209"/>
      <c r="R105" s="209"/>
      <c r="S105" s="209"/>
      <c r="T105" s="210"/>
      <c r="V105" s="208"/>
      <c r="W105" s="209"/>
      <c r="X105" s="209"/>
      <c r="Y105" s="209"/>
      <c r="Z105" s="210"/>
    </row>
    <row r="106" spans="7:26" ht="15.75" customHeight="1">
      <c r="O106" s="211"/>
      <c r="P106" s="212"/>
      <c r="Q106" s="212"/>
      <c r="R106" s="212"/>
      <c r="S106" s="212"/>
      <c r="T106" s="213"/>
      <c r="V106" s="211"/>
      <c r="W106" s="212"/>
      <c r="X106" s="212"/>
      <c r="Y106" s="212"/>
      <c r="Z106" s="213"/>
    </row>
    <row r="108" spans="7:26" ht="15.75" customHeight="1">
      <c r="G108" s="202" t="s">
        <v>31</v>
      </c>
      <c r="H108" s="202"/>
      <c r="I108" s="202"/>
      <c r="J108" s="202"/>
      <c r="K108" s="202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autoFilter ref="F9:K11"/>
  <mergeCells count="22"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  <mergeCell ref="Y6:Z6"/>
    <mergeCell ref="F7:K7"/>
    <mergeCell ref="V6:X6"/>
    <mergeCell ref="M7:N7"/>
    <mergeCell ref="P7:Q7"/>
    <mergeCell ref="E2:Q2"/>
    <mergeCell ref="B4:C5"/>
    <mergeCell ref="K6:N6"/>
    <mergeCell ref="O6:R6"/>
    <mergeCell ref="S6:U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PENGATURAN!$D$5:$D$16</xm:f>
          </x14:formula1>
          <xm:sqref>P7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9" width="23" style="41" customWidth="1"/>
    <col min="10" max="10" width="31.425781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198" t="s">
        <v>90</v>
      </c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5.95" customHeight="1">
      <c r="A4" s="62"/>
      <c r="B4" s="195" t="s">
        <v>72</v>
      </c>
      <c r="C4" s="195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195"/>
      <c r="C5" s="195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196"/>
      <c r="K6" s="225"/>
      <c r="L6" s="225"/>
      <c r="M6" s="225"/>
      <c r="N6" s="196"/>
      <c r="O6" s="196"/>
      <c r="P6" s="225"/>
      <c r="Q6" s="226"/>
      <c r="R6" s="221"/>
      <c r="S6" s="222"/>
      <c r="T6" s="222"/>
      <c r="U6" s="223"/>
      <c r="V6" s="222"/>
      <c r="W6" s="222"/>
      <c r="X6" s="221"/>
      <c r="Y6" s="222"/>
      <c r="Z6" s="83"/>
      <c r="AA6" s="80"/>
    </row>
    <row r="7" spans="1:27" ht="18.95" customHeight="1">
      <c r="A7" s="62"/>
      <c r="B7" s="62"/>
      <c r="C7" s="99" t="s">
        <v>38</v>
      </c>
      <c r="D7" s="81"/>
      <c r="E7" s="120"/>
      <c r="F7" s="199" t="s">
        <v>42</v>
      </c>
      <c r="G7" s="200"/>
      <c r="H7" s="200"/>
      <c r="I7" s="200"/>
      <c r="J7" s="201"/>
      <c r="K7" s="154"/>
      <c r="L7" s="229"/>
      <c r="M7" s="229"/>
      <c r="N7" s="86"/>
      <c r="O7" s="230"/>
      <c r="P7" s="230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00000000000001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31"/>
      <c r="M9" s="231"/>
      <c r="N9" s="154"/>
      <c r="O9" s="231"/>
      <c r="P9" s="231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03" t="s">
        <v>16</v>
      </c>
      <c r="I61" s="203"/>
      <c r="J61" s="203"/>
      <c r="K61" s="203"/>
      <c r="L61" s="203"/>
      <c r="M61" s="203"/>
      <c r="N61" s="203"/>
      <c r="O61" s="203"/>
      <c r="P61" s="203"/>
      <c r="Q61" s="203"/>
      <c r="R61" s="203"/>
      <c r="S61" s="203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02" t="s">
        <v>15</v>
      </c>
      <c r="H86" s="202"/>
      <c r="I86" s="202"/>
      <c r="J86" s="202"/>
      <c r="K86" s="43"/>
      <c r="L86" s="43"/>
      <c r="N86" s="204" t="s">
        <v>11</v>
      </c>
      <c r="O86" s="204"/>
      <c r="P86" s="204"/>
      <c r="Q86" s="204"/>
      <c r="R86" s="204"/>
      <c r="S86" s="204"/>
      <c r="U86" s="204" t="s">
        <v>28</v>
      </c>
      <c r="V86" s="204"/>
      <c r="W86" s="204"/>
      <c r="X86" s="204"/>
      <c r="Y86" s="204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04"/>
      <c r="O87" s="204"/>
      <c r="P87" s="204"/>
      <c r="Q87" s="204"/>
      <c r="R87" s="204"/>
      <c r="S87" s="204"/>
      <c r="U87" s="204"/>
      <c r="V87" s="204"/>
      <c r="W87" s="204"/>
      <c r="X87" s="204"/>
      <c r="Y87" s="204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05">
        <v>6000000</v>
      </c>
      <c r="O88" s="206"/>
      <c r="P88" s="206"/>
      <c r="Q88" s="206"/>
      <c r="R88" s="206"/>
      <c r="S88" s="207"/>
      <c r="U88" s="205">
        <v>6000000</v>
      </c>
      <c r="V88" s="206"/>
      <c r="W88" s="206"/>
      <c r="X88" s="206"/>
      <c r="Y88" s="207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08"/>
      <c r="O89" s="209"/>
      <c r="P89" s="209"/>
      <c r="Q89" s="209"/>
      <c r="R89" s="209"/>
      <c r="S89" s="210"/>
      <c r="U89" s="208"/>
      <c r="V89" s="209"/>
      <c r="W89" s="209"/>
      <c r="X89" s="209"/>
      <c r="Y89" s="210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08"/>
      <c r="O90" s="209"/>
      <c r="P90" s="209"/>
      <c r="Q90" s="209"/>
      <c r="R90" s="209"/>
      <c r="S90" s="210"/>
      <c r="U90" s="208"/>
      <c r="V90" s="209"/>
      <c r="W90" s="209"/>
      <c r="X90" s="209"/>
      <c r="Y90" s="210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08"/>
      <c r="O91" s="209"/>
      <c r="P91" s="209"/>
      <c r="Q91" s="209"/>
      <c r="R91" s="209"/>
      <c r="S91" s="210"/>
      <c r="U91" s="208"/>
      <c r="V91" s="209"/>
      <c r="W91" s="209"/>
      <c r="X91" s="209"/>
      <c r="Y91" s="210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08"/>
      <c r="O92" s="209"/>
      <c r="P92" s="209"/>
      <c r="Q92" s="209"/>
      <c r="R92" s="209"/>
      <c r="S92" s="210"/>
      <c r="U92" s="208"/>
      <c r="V92" s="209"/>
      <c r="W92" s="209"/>
      <c r="X92" s="209"/>
      <c r="Y92" s="210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08"/>
      <c r="O93" s="209"/>
      <c r="P93" s="209"/>
      <c r="Q93" s="209"/>
      <c r="R93" s="209"/>
      <c r="S93" s="210"/>
      <c r="U93" s="208"/>
      <c r="V93" s="209"/>
      <c r="W93" s="209"/>
      <c r="X93" s="209"/>
      <c r="Y93" s="210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08"/>
      <c r="O94" s="209"/>
      <c r="P94" s="209"/>
      <c r="Q94" s="209"/>
      <c r="R94" s="209"/>
      <c r="S94" s="210"/>
      <c r="U94" s="208"/>
      <c r="V94" s="209"/>
      <c r="W94" s="209"/>
      <c r="X94" s="209"/>
      <c r="Y94" s="21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11"/>
      <c r="O95" s="212"/>
      <c r="P95" s="212"/>
      <c r="Q95" s="212"/>
      <c r="R95" s="212"/>
      <c r="S95" s="213"/>
      <c r="U95" s="211"/>
      <c r="V95" s="212"/>
      <c r="W95" s="212"/>
      <c r="X95" s="212"/>
      <c r="Y95" s="213"/>
    </row>
    <row r="97" spans="7:25" ht="15.75" customHeight="1">
      <c r="G97" s="214" t="s">
        <v>12</v>
      </c>
      <c r="H97" s="214"/>
      <c r="I97" s="214"/>
      <c r="J97" s="214"/>
      <c r="K97" s="214"/>
      <c r="L97" s="101"/>
      <c r="N97" s="204" t="s">
        <v>29</v>
      </c>
      <c r="O97" s="204"/>
      <c r="P97" s="204"/>
      <c r="Q97" s="204"/>
      <c r="R97" s="204"/>
      <c r="S97" s="204"/>
      <c r="U97" s="215" t="s">
        <v>27</v>
      </c>
      <c r="V97" s="216"/>
      <c r="W97" s="216"/>
      <c r="X97" s="216"/>
      <c r="Y97" s="217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04"/>
      <c r="O98" s="204"/>
      <c r="P98" s="204"/>
      <c r="Q98" s="204"/>
      <c r="R98" s="204"/>
      <c r="S98" s="204"/>
      <c r="U98" s="218"/>
      <c r="V98" s="219"/>
      <c r="W98" s="219"/>
      <c r="X98" s="219"/>
      <c r="Y98" s="220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05">
        <v>6000000</v>
      </c>
      <c r="O99" s="206"/>
      <c r="P99" s="206"/>
      <c r="Q99" s="206"/>
      <c r="R99" s="206"/>
      <c r="S99" s="207"/>
      <c r="U99" s="205">
        <v>6000000</v>
      </c>
      <c r="V99" s="206"/>
      <c r="W99" s="206"/>
      <c r="X99" s="206"/>
      <c r="Y99" s="207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08"/>
      <c r="O100" s="209"/>
      <c r="P100" s="209"/>
      <c r="Q100" s="209"/>
      <c r="R100" s="209"/>
      <c r="S100" s="210"/>
      <c r="U100" s="208"/>
      <c r="V100" s="209"/>
      <c r="W100" s="209"/>
      <c r="X100" s="209"/>
      <c r="Y100" s="210"/>
    </row>
    <row r="101" spans="7:25" ht="15.75" customHeight="1">
      <c r="G101" s="134"/>
      <c r="H101" s="50"/>
      <c r="I101" s="50"/>
      <c r="J101" s="134"/>
      <c r="K101" s="45"/>
      <c r="L101" s="102"/>
      <c r="N101" s="208"/>
      <c r="O101" s="209"/>
      <c r="P101" s="209"/>
      <c r="Q101" s="209"/>
      <c r="R101" s="209"/>
      <c r="S101" s="210"/>
      <c r="U101" s="208"/>
      <c r="V101" s="209"/>
      <c r="W101" s="209"/>
      <c r="X101" s="209"/>
      <c r="Y101" s="210"/>
    </row>
    <row r="102" spans="7:25" ht="15.75" customHeight="1">
      <c r="G102" s="51"/>
      <c r="H102" s="51"/>
      <c r="I102" s="51"/>
      <c r="J102" s="52"/>
      <c r="K102" s="52"/>
      <c r="L102" s="104"/>
      <c r="N102" s="208"/>
      <c r="O102" s="209"/>
      <c r="P102" s="209"/>
      <c r="Q102" s="209"/>
      <c r="R102" s="209"/>
      <c r="S102" s="210"/>
      <c r="U102" s="208"/>
      <c r="V102" s="209"/>
      <c r="W102" s="209"/>
      <c r="X102" s="209"/>
      <c r="Y102" s="210"/>
    </row>
    <row r="103" spans="7:25" ht="15.75" customHeight="1">
      <c r="G103" s="51"/>
      <c r="H103" s="51"/>
      <c r="I103" s="51"/>
      <c r="J103" s="52"/>
      <c r="K103" s="52"/>
      <c r="L103" s="104"/>
      <c r="N103" s="208"/>
      <c r="O103" s="209"/>
      <c r="P103" s="209"/>
      <c r="Q103" s="209"/>
      <c r="R103" s="209"/>
      <c r="S103" s="210"/>
      <c r="U103" s="208"/>
      <c r="V103" s="209"/>
      <c r="W103" s="209"/>
      <c r="X103" s="209"/>
      <c r="Y103" s="210"/>
    </row>
    <row r="104" spans="7:25" ht="15.75" customHeight="1">
      <c r="G104" s="51"/>
      <c r="H104" s="51"/>
      <c r="I104" s="51"/>
      <c r="J104" s="52"/>
      <c r="K104" s="52"/>
      <c r="L104" s="104"/>
      <c r="N104" s="208"/>
      <c r="O104" s="209"/>
      <c r="P104" s="209"/>
      <c r="Q104" s="209"/>
      <c r="R104" s="209"/>
      <c r="S104" s="210"/>
      <c r="U104" s="208"/>
      <c r="V104" s="209"/>
      <c r="W104" s="209"/>
      <c r="X104" s="209"/>
      <c r="Y104" s="21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08"/>
      <c r="O105" s="209"/>
      <c r="P105" s="209"/>
      <c r="Q105" s="209"/>
      <c r="R105" s="209"/>
      <c r="S105" s="210"/>
      <c r="U105" s="208"/>
      <c r="V105" s="209"/>
      <c r="W105" s="209"/>
      <c r="X105" s="209"/>
      <c r="Y105" s="210"/>
    </row>
    <row r="106" spans="7:25" ht="15.75" customHeight="1">
      <c r="N106" s="211"/>
      <c r="O106" s="212"/>
      <c r="P106" s="212"/>
      <c r="Q106" s="212"/>
      <c r="R106" s="212"/>
      <c r="S106" s="213"/>
      <c r="U106" s="211"/>
      <c r="V106" s="212"/>
      <c r="W106" s="212"/>
      <c r="X106" s="212"/>
      <c r="Y106" s="213"/>
    </row>
    <row r="108" spans="7:25" ht="15.75" customHeight="1">
      <c r="G108" s="202" t="s">
        <v>31</v>
      </c>
      <c r="H108" s="202"/>
      <c r="I108" s="202"/>
      <c r="J108" s="202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F7:J7"/>
    <mergeCell ref="E2:P2"/>
    <mergeCell ref="B4:C5"/>
    <mergeCell ref="J6:M6"/>
    <mergeCell ref="N6:Q6"/>
    <mergeCell ref="X6:Y6"/>
    <mergeCell ref="L7:M7"/>
    <mergeCell ref="O7:P7"/>
    <mergeCell ref="L9:M9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125"/>
  <sheetViews>
    <sheetView zoomScale="70" zoomScaleNormal="70" workbookViewId="0">
      <selection activeCell="F13" sqref="F13:P15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7.42578125" style="78" customWidth="1"/>
    <col min="7" max="7" width="24.5703125" style="41" customWidth="1"/>
    <col min="8" max="8" width="3.42578125" style="41" customWidth="1"/>
    <col min="9" max="9" width="5.5703125" style="41" customWidth="1"/>
    <col min="10" max="10" width="26.285156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198" t="s">
        <v>79</v>
      </c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195" t="s">
        <v>72</v>
      </c>
      <c r="C4" s="195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195"/>
      <c r="C5" s="195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37"/>
      <c r="K6" s="238"/>
      <c r="L6" s="238"/>
      <c r="M6" s="238"/>
      <c r="N6" s="237"/>
      <c r="O6" s="237"/>
      <c r="P6" s="238"/>
      <c r="Q6" s="238"/>
      <c r="R6" s="221"/>
      <c r="S6" s="222"/>
      <c r="T6" s="222"/>
      <c r="U6" s="223"/>
      <c r="V6" s="222"/>
      <c r="W6" s="222"/>
      <c r="X6" s="221"/>
      <c r="Y6" s="222"/>
      <c r="Z6" s="83"/>
      <c r="AA6" s="80"/>
    </row>
    <row r="7" spans="1:27" ht="18.95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28" t="s">
        <v>55</v>
      </c>
      <c r="J7" s="228"/>
      <c r="K7" s="71"/>
      <c r="L7" s="227" t="s">
        <v>66</v>
      </c>
      <c r="M7" s="227"/>
      <c r="N7" s="42"/>
      <c r="O7" s="228">
        <v>2024</v>
      </c>
      <c r="P7" s="228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00000000000001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00000000000001" customHeight="1">
      <c r="A9" s="62"/>
      <c r="B9" s="62"/>
      <c r="C9" s="99" t="s">
        <v>40</v>
      </c>
      <c r="D9" s="81"/>
      <c r="E9" s="86"/>
      <c r="F9" s="232" t="s">
        <v>75</v>
      </c>
      <c r="G9" s="233"/>
      <c r="H9" s="114"/>
      <c r="I9" s="234" t="s">
        <v>76</v>
      </c>
      <c r="J9" s="235"/>
      <c r="K9" s="87"/>
      <c r="L9" s="232" t="s">
        <v>77</v>
      </c>
      <c r="M9" s="236"/>
      <c r="N9" s="87"/>
      <c r="O9" s="232" t="s">
        <v>78</v>
      </c>
      <c r="P9" s="236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00000000000001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32" t="s">
        <v>75</v>
      </c>
      <c r="G13" s="233"/>
      <c r="H13" s="114"/>
      <c r="I13" s="234" t="s">
        <v>76</v>
      </c>
      <c r="J13" s="235"/>
      <c r="K13" s="87"/>
      <c r="L13" s="232" t="s">
        <v>77</v>
      </c>
      <c r="M13" s="236"/>
      <c r="N13" s="87"/>
      <c r="O13" s="232" t="s">
        <v>78</v>
      </c>
      <c r="P13" s="236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03" t="s">
        <v>16</v>
      </c>
      <c r="I61" s="203"/>
      <c r="J61" s="203"/>
      <c r="K61" s="203"/>
      <c r="L61" s="203"/>
      <c r="M61" s="203"/>
      <c r="N61" s="203"/>
      <c r="O61" s="203"/>
      <c r="P61" s="203"/>
      <c r="Q61" s="203"/>
      <c r="R61" s="203"/>
      <c r="S61" s="203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02" t="s">
        <v>15</v>
      </c>
      <c r="H86" s="202"/>
      <c r="I86" s="202"/>
      <c r="J86" s="202"/>
      <c r="K86" s="43"/>
      <c r="L86" s="43"/>
      <c r="N86" s="204" t="s">
        <v>11</v>
      </c>
      <c r="O86" s="204"/>
      <c r="P86" s="204"/>
      <c r="Q86" s="204"/>
      <c r="R86" s="204"/>
      <c r="S86" s="204"/>
      <c r="U86" s="204" t="s">
        <v>28</v>
      </c>
      <c r="V86" s="204"/>
      <c r="W86" s="204"/>
      <c r="X86" s="204"/>
      <c r="Y86" s="204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04"/>
      <c r="O87" s="204"/>
      <c r="P87" s="204"/>
      <c r="Q87" s="204"/>
      <c r="R87" s="204"/>
      <c r="S87" s="204"/>
      <c r="U87" s="204"/>
      <c r="V87" s="204"/>
      <c r="W87" s="204"/>
      <c r="X87" s="204"/>
      <c r="Y87" s="204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205">
        <v>6000000</v>
      </c>
      <c r="O88" s="206"/>
      <c r="P88" s="206"/>
      <c r="Q88" s="206"/>
      <c r="R88" s="206"/>
      <c r="S88" s="207"/>
      <c r="U88" s="205">
        <v>6000000</v>
      </c>
      <c r="V88" s="206"/>
      <c r="W88" s="206"/>
      <c r="X88" s="206"/>
      <c r="Y88" s="207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08"/>
      <c r="O89" s="209"/>
      <c r="P89" s="209"/>
      <c r="Q89" s="209"/>
      <c r="R89" s="209"/>
      <c r="S89" s="210"/>
      <c r="U89" s="208"/>
      <c r="V89" s="209"/>
      <c r="W89" s="209"/>
      <c r="X89" s="209"/>
      <c r="Y89" s="210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08"/>
      <c r="O90" s="209"/>
      <c r="P90" s="209"/>
      <c r="Q90" s="209"/>
      <c r="R90" s="209"/>
      <c r="S90" s="210"/>
      <c r="U90" s="208"/>
      <c r="V90" s="209"/>
      <c r="W90" s="209"/>
      <c r="X90" s="209"/>
      <c r="Y90" s="210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08"/>
      <c r="O91" s="209"/>
      <c r="P91" s="209"/>
      <c r="Q91" s="209"/>
      <c r="R91" s="209"/>
      <c r="S91" s="210"/>
      <c r="U91" s="208"/>
      <c r="V91" s="209"/>
      <c r="W91" s="209"/>
      <c r="X91" s="209"/>
      <c r="Y91" s="210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08"/>
      <c r="O92" s="209"/>
      <c r="P92" s="209"/>
      <c r="Q92" s="209"/>
      <c r="R92" s="209"/>
      <c r="S92" s="210"/>
      <c r="U92" s="208"/>
      <c r="V92" s="209"/>
      <c r="W92" s="209"/>
      <c r="X92" s="209"/>
      <c r="Y92" s="210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08"/>
      <c r="O93" s="209"/>
      <c r="P93" s="209"/>
      <c r="Q93" s="209"/>
      <c r="R93" s="209"/>
      <c r="S93" s="210"/>
      <c r="U93" s="208"/>
      <c r="V93" s="209"/>
      <c r="W93" s="209"/>
      <c r="X93" s="209"/>
      <c r="Y93" s="210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08"/>
      <c r="O94" s="209"/>
      <c r="P94" s="209"/>
      <c r="Q94" s="209"/>
      <c r="R94" s="209"/>
      <c r="S94" s="210"/>
      <c r="U94" s="208"/>
      <c r="V94" s="209"/>
      <c r="W94" s="209"/>
      <c r="X94" s="209"/>
      <c r="Y94" s="21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11"/>
      <c r="O95" s="212"/>
      <c r="P95" s="212"/>
      <c r="Q95" s="212"/>
      <c r="R95" s="212"/>
      <c r="S95" s="213"/>
      <c r="U95" s="211"/>
      <c r="V95" s="212"/>
      <c r="W95" s="212"/>
      <c r="X95" s="212"/>
      <c r="Y95" s="213"/>
    </row>
    <row r="97" spans="7:25" ht="15.75" customHeight="1">
      <c r="G97" s="214" t="s">
        <v>12</v>
      </c>
      <c r="H97" s="214"/>
      <c r="I97" s="214"/>
      <c r="J97" s="214"/>
      <c r="K97" s="214"/>
      <c r="L97" s="101"/>
      <c r="N97" s="204" t="s">
        <v>29</v>
      </c>
      <c r="O97" s="204"/>
      <c r="P97" s="204"/>
      <c r="Q97" s="204"/>
      <c r="R97" s="204"/>
      <c r="S97" s="204"/>
      <c r="U97" s="215" t="s">
        <v>27</v>
      </c>
      <c r="V97" s="216"/>
      <c r="W97" s="216"/>
      <c r="X97" s="216"/>
      <c r="Y97" s="217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04"/>
      <c r="O98" s="204"/>
      <c r="P98" s="204"/>
      <c r="Q98" s="204"/>
      <c r="R98" s="204"/>
      <c r="S98" s="204"/>
      <c r="U98" s="218"/>
      <c r="V98" s="219"/>
      <c r="W98" s="219"/>
      <c r="X98" s="219"/>
      <c r="Y98" s="220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05">
        <v>6000000</v>
      </c>
      <c r="O99" s="206"/>
      <c r="P99" s="206"/>
      <c r="Q99" s="206"/>
      <c r="R99" s="206"/>
      <c r="S99" s="207"/>
      <c r="U99" s="205">
        <v>6000000</v>
      </c>
      <c r="V99" s="206"/>
      <c r="W99" s="206"/>
      <c r="X99" s="206"/>
      <c r="Y99" s="207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08"/>
      <c r="O100" s="209"/>
      <c r="P100" s="209"/>
      <c r="Q100" s="209"/>
      <c r="R100" s="209"/>
      <c r="S100" s="210"/>
      <c r="U100" s="208"/>
      <c r="V100" s="209"/>
      <c r="W100" s="209"/>
      <c r="X100" s="209"/>
      <c r="Y100" s="210"/>
    </row>
    <row r="101" spans="7:25" ht="15.75" customHeight="1">
      <c r="G101" s="44"/>
      <c r="H101" s="50"/>
      <c r="I101" s="50"/>
      <c r="J101" s="44"/>
      <c r="K101" s="45"/>
      <c r="L101" s="102"/>
      <c r="N101" s="208"/>
      <c r="O101" s="209"/>
      <c r="P101" s="209"/>
      <c r="Q101" s="209"/>
      <c r="R101" s="209"/>
      <c r="S101" s="210"/>
      <c r="U101" s="208"/>
      <c r="V101" s="209"/>
      <c r="W101" s="209"/>
      <c r="X101" s="209"/>
      <c r="Y101" s="210"/>
    </row>
    <row r="102" spans="7:25" ht="15.75" customHeight="1">
      <c r="G102" s="51"/>
      <c r="H102" s="51"/>
      <c r="I102" s="51"/>
      <c r="J102" s="52"/>
      <c r="K102" s="52"/>
      <c r="L102" s="104"/>
      <c r="N102" s="208"/>
      <c r="O102" s="209"/>
      <c r="P102" s="209"/>
      <c r="Q102" s="209"/>
      <c r="R102" s="209"/>
      <c r="S102" s="210"/>
      <c r="U102" s="208"/>
      <c r="V102" s="209"/>
      <c r="W102" s="209"/>
      <c r="X102" s="209"/>
      <c r="Y102" s="210"/>
    </row>
    <row r="103" spans="7:25" ht="15.75" customHeight="1">
      <c r="G103" s="51"/>
      <c r="H103" s="51"/>
      <c r="I103" s="51"/>
      <c r="J103" s="52"/>
      <c r="K103" s="52"/>
      <c r="L103" s="104"/>
      <c r="N103" s="208"/>
      <c r="O103" s="209"/>
      <c r="P103" s="209"/>
      <c r="Q103" s="209"/>
      <c r="R103" s="209"/>
      <c r="S103" s="210"/>
      <c r="U103" s="208"/>
      <c r="V103" s="209"/>
      <c r="W103" s="209"/>
      <c r="X103" s="209"/>
      <c r="Y103" s="210"/>
    </row>
    <row r="104" spans="7:25" ht="15.75" customHeight="1">
      <c r="G104" s="51"/>
      <c r="H104" s="51"/>
      <c r="I104" s="51"/>
      <c r="J104" s="52"/>
      <c r="K104" s="52"/>
      <c r="L104" s="104"/>
      <c r="N104" s="208"/>
      <c r="O104" s="209"/>
      <c r="P104" s="209"/>
      <c r="Q104" s="209"/>
      <c r="R104" s="209"/>
      <c r="S104" s="210"/>
      <c r="U104" s="208"/>
      <c r="V104" s="209"/>
      <c r="W104" s="209"/>
      <c r="X104" s="209"/>
      <c r="Y104" s="21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08"/>
      <c r="O105" s="209"/>
      <c r="P105" s="209"/>
      <c r="Q105" s="209"/>
      <c r="R105" s="209"/>
      <c r="S105" s="210"/>
      <c r="U105" s="208"/>
      <c r="V105" s="209"/>
      <c r="W105" s="209"/>
      <c r="X105" s="209"/>
      <c r="Y105" s="210"/>
    </row>
    <row r="106" spans="7:25" ht="15.75" customHeight="1">
      <c r="N106" s="211"/>
      <c r="O106" s="212"/>
      <c r="P106" s="212"/>
      <c r="Q106" s="212"/>
      <c r="R106" s="212"/>
      <c r="S106" s="213"/>
      <c r="U106" s="211"/>
      <c r="V106" s="212"/>
      <c r="W106" s="212"/>
      <c r="X106" s="212"/>
      <c r="Y106" s="213"/>
    </row>
    <row r="108" spans="7:25" ht="15.75" customHeight="1">
      <c r="G108" s="202" t="s">
        <v>31</v>
      </c>
      <c r="H108" s="202"/>
      <c r="I108" s="202"/>
      <c r="J108" s="202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PENGATURAN!$B$5:$B$16</xm:f>
          </x14:formula1>
          <xm:sqref>I7:J7</xm:sqref>
        </x14:dataValidation>
        <x14:dataValidation type="list" showInputMessage="1" showErrorMessage="1">
          <x14:formula1>
            <xm:f>PENGATURAN!$D$5:$D$16</xm:f>
          </x14:formula1>
          <xm:sqref>O7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O51"/>
  <sheetViews>
    <sheetView zoomScale="70" zoomScaleNormal="70" workbookViewId="0">
      <selection activeCell="C24" sqref="C24"/>
    </sheetView>
  </sheetViews>
  <sheetFormatPr defaultRowHeight="12.75"/>
  <cols>
    <col min="2" max="2" width="27" customWidth="1"/>
    <col min="5" max="5" width="34.42578125" customWidth="1"/>
    <col min="6" max="6" width="15.7109375" customWidth="1"/>
    <col min="9" max="9" width="24.140625" customWidth="1"/>
    <col min="10" max="10" width="37.42578125" customWidth="1"/>
    <col min="11" max="11" width="28.42578125" customWidth="1"/>
    <col min="12" max="12" width="17.140625" customWidth="1"/>
    <col min="13" max="13" width="15" customWidth="1"/>
  </cols>
  <sheetData>
    <row r="4" spans="2:8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October</v>
      </c>
    </row>
    <row r="20" spans="2:15">
      <c r="B20" s="96" t="s">
        <v>9</v>
      </c>
      <c r="C20" s="261" t="s">
        <v>10</v>
      </c>
    </row>
    <row r="21" spans="2:15">
      <c r="B21" s="96" t="s">
        <v>1</v>
      </c>
      <c r="C21" s="262"/>
    </row>
    <row r="22" spans="2:15">
      <c r="B22" s="96" t="s">
        <v>2</v>
      </c>
      <c r="C22" s="262"/>
    </row>
    <row r="23" spans="2:15">
      <c r="B23" s="96" t="s">
        <v>3</v>
      </c>
      <c r="C23" s="262"/>
    </row>
    <row r="24" spans="2:15">
      <c r="B24" s="96" t="s">
        <v>4</v>
      </c>
      <c r="C24" s="262">
        <v>105000</v>
      </c>
    </row>
    <row r="25" spans="2:15">
      <c r="B25" s="96" t="s">
        <v>5</v>
      </c>
      <c r="C25" s="262"/>
    </row>
    <row r="26" spans="2:15">
      <c r="B26" s="96" t="s">
        <v>6</v>
      </c>
      <c r="C26" s="262"/>
    </row>
    <row r="27" spans="2:15">
      <c r="B27" s="96" t="s">
        <v>7</v>
      </c>
      <c r="C27" s="262"/>
    </row>
    <row r="28" spans="2:15">
      <c r="B28" s="152" t="s">
        <v>32</v>
      </c>
      <c r="C28" s="262"/>
      <c r="E28" s="258" t="s">
        <v>110</v>
      </c>
      <c r="F28" s="258"/>
      <c r="G28" s="258"/>
    </row>
    <row r="29" spans="2:15">
      <c r="B29" s="152" t="s">
        <v>33</v>
      </c>
      <c r="C29" s="262"/>
      <c r="E29" t="s">
        <v>109</v>
      </c>
      <c r="F29">
        <v>3449200</v>
      </c>
    </row>
    <row r="30" spans="2:15">
      <c r="B30" s="152" t="s">
        <v>34</v>
      </c>
      <c r="C30" s="262"/>
      <c r="E30" t="s">
        <v>108</v>
      </c>
      <c r="F30">
        <v>1922976</v>
      </c>
    </row>
    <row r="31" spans="2:15">
      <c r="B31" s="152" t="s">
        <v>35</v>
      </c>
      <c r="C31" s="262"/>
      <c r="E31" t="s">
        <v>111</v>
      </c>
      <c r="F31">
        <v>3449200</v>
      </c>
      <c r="I31" s="202" t="s">
        <v>15</v>
      </c>
      <c r="J31" s="202"/>
      <c r="K31" s="202"/>
      <c r="L31" s="202"/>
      <c r="M31" s="43"/>
      <c r="N31" s="43"/>
      <c r="O31" s="41"/>
    </row>
    <row r="32" spans="2:15">
      <c r="B32" s="152" t="s">
        <v>12</v>
      </c>
      <c r="C32" s="262"/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115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TEXT(TODAY(),"dd mmmm yyyy")</f>
        <v>11 October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14" t="s">
        <v>12</v>
      </c>
      <c r="J42" s="214"/>
      <c r="K42" s="214"/>
      <c r="L42" s="214"/>
      <c r="M42" s="214"/>
      <c r="N42" s="101"/>
      <c r="O42" s="41"/>
    </row>
    <row r="43" spans="2:15"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34"/>
  <sheetViews>
    <sheetView zoomScale="40" zoomScaleNormal="40" workbookViewId="0">
      <selection activeCell="H58" sqref="H58"/>
    </sheetView>
  </sheetViews>
  <sheetFormatPr defaultRowHeight="12.75"/>
  <cols>
    <col min="2" max="2" width="24.140625" customWidth="1"/>
    <col min="3" max="3" width="17.7109375" customWidth="1"/>
    <col min="7" max="7" width="14.42578125" customWidth="1"/>
    <col min="8" max="8" width="17.7109375" customWidth="1"/>
    <col min="9" max="9" width="18.14062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44" t="s">
        <v>26</v>
      </c>
      <c r="K3" s="245"/>
      <c r="L3" s="245"/>
      <c r="M3" s="245"/>
      <c r="N3" s="245"/>
      <c r="O3" s="245"/>
      <c r="P3" s="245"/>
      <c r="Q3" s="245"/>
      <c r="R3" s="245"/>
      <c r="S3" s="245"/>
      <c r="T3" s="245"/>
      <c r="U3" s="246"/>
    </row>
    <row r="4" spans="2:21" ht="12.75" customHeight="1" thickBot="1">
      <c r="B4" s="239" t="s">
        <v>43</v>
      </c>
      <c r="C4" s="240"/>
      <c r="G4" s="57">
        <v>23</v>
      </c>
      <c r="H4" s="60">
        <v>123</v>
      </c>
      <c r="I4" s="61">
        <v>123</v>
      </c>
      <c r="J4" s="247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9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47">
        <v>123</v>
      </c>
      <c r="K5" s="248"/>
      <c r="L5" s="248"/>
      <c r="M5" s="248"/>
      <c r="N5" s="248"/>
      <c r="O5" s="248"/>
      <c r="P5" s="248"/>
      <c r="Q5" s="248"/>
      <c r="R5" s="248"/>
      <c r="S5" s="248"/>
      <c r="T5" s="248"/>
      <c r="U5" s="249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47">
        <v>123</v>
      </c>
      <c r="K6" s="248"/>
      <c r="L6" s="248"/>
      <c r="M6" s="248"/>
      <c r="N6" s="248"/>
      <c r="O6" s="248"/>
      <c r="P6" s="248"/>
      <c r="Q6" s="248"/>
      <c r="R6" s="248"/>
      <c r="S6" s="248"/>
      <c r="T6" s="248"/>
      <c r="U6" s="249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47">
        <v>123</v>
      </c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49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47" t="s">
        <v>47</v>
      </c>
      <c r="K8" s="248"/>
      <c r="L8" s="248"/>
      <c r="M8" s="248"/>
      <c r="N8" s="248"/>
      <c r="O8" s="248"/>
      <c r="P8" s="248"/>
      <c r="Q8" s="248"/>
      <c r="R8" s="248"/>
      <c r="S8" s="248"/>
      <c r="T8" s="248"/>
      <c r="U8" s="249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47">
        <v>4</v>
      </c>
      <c r="K9" s="248"/>
      <c r="L9" s="248"/>
      <c r="M9" s="248"/>
      <c r="N9" s="248"/>
      <c r="O9" s="248"/>
      <c r="P9" s="248"/>
      <c r="Q9" s="248"/>
      <c r="R9" s="248"/>
      <c r="S9" s="248"/>
      <c r="T9" s="248"/>
      <c r="U9" s="249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47" t="s">
        <v>50</v>
      </c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9"/>
    </row>
    <row r="11" spans="2:21" ht="12.75" customHeight="1">
      <c r="B11" s="67"/>
      <c r="C11" s="68"/>
      <c r="G11" s="57"/>
      <c r="H11" s="60"/>
      <c r="I11" s="61"/>
      <c r="J11" s="247"/>
      <c r="K11" s="248"/>
      <c r="L11" s="248"/>
      <c r="M11" s="248"/>
      <c r="N11" s="248"/>
      <c r="O11" s="248"/>
      <c r="P11" s="248"/>
      <c r="Q11" s="248"/>
      <c r="R11" s="248"/>
      <c r="S11" s="248"/>
      <c r="T11" s="248"/>
      <c r="U11" s="249"/>
    </row>
    <row r="12" spans="2:21" ht="12.75" customHeight="1">
      <c r="B12" s="67"/>
      <c r="C12" s="68"/>
      <c r="G12" s="57"/>
      <c r="H12" s="60"/>
      <c r="I12" s="61"/>
      <c r="J12" s="247"/>
      <c r="K12" s="248"/>
      <c r="L12" s="248"/>
      <c r="M12" s="248"/>
      <c r="N12" s="248"/>
      <c r="O12" s="248"/>
      <c r="P12" s="248"/>
      <c r="Q12" s="248"/>
      <c r="R12" s="248"/>
      <c r="S12" s="248"/>
      <c r="T12" s="248"/>
      <c r="U12" s="249"/>
    </row>
    <row r="13" spans="2:21" ht="12.75" customHeight="1" thickBot="1">
      <c r="B13" s="69"/>
      <c r="C13" s="70"/>
      <c r="G13" s="57"/>
      <c r="H13" s="58"/>
      <c r="I13" s="61"/>
      <c r="J13" s="247"/>
      <c r="K13" s="248"/>
      <c r="L13" s="248"/>
      <c r="M13" s="248"/>
      <c r="N13" s="248"/>
      <c r="O13" s="248"/>
      <c r="P13" s="248"/>
      <c r="Q13" s="248"/>
      <c r="R13" s="248"/>
      <c r="S13" s="248"/>
      <c r="T13" s="248"/>
      <c r="U13" s="249"/>
    </row>
    <row r="14" spans="2:21">
      <c r="G14" s="60"/>
      <c r="H14" s="58"/>
      <c r="I14" s="61"/>
      <c r="J14" s="241"/>
      <c r="K14" s="242"/>
      <c r="L14" s="242"/>
      <c r="M14" s="242"/>
      <c r="N14" s="242"/>
      <c r="O14" s="242"/>
      <c r="P14" s="242"/>
      <c r="Q14" s="242"/>
      <c r="R14" s="242"/>
      <c r="S14" s="242"/>
      <c r="T14" s="242"/>
      <c r="U14" s="243"/>
    </row>
    <row r="15" spans="2:21">
      <c r="G15" s="58"/>
      <c r="H15" s="58"/>
      <c r="I15" s="61"/>
      <c r="J15" s="241"/>
      <c r="K15" s="242"/>
      <c r="L15" s="242"/>
      <c r="M15" s="242"/>
      <c r="N15" s="242"/>
      <c r="O15" s="242"/>
      <c r="P15" s="242"/>
      <c r="Q15" s="242"/>
      <c r="R15" s="242"/>
      <c r="S15" s="242"/>
      <c r="T15" s="242"/>
      <c r="U15" s="243"/>
    </row>
    <row r="16" spans="2:21">
      <c r="G16" s="58"/>
      <c r="H16" s="58"/>
      <c r="I16" s="61"/>
      <c r="J16" s="241"/>
      <c r="K16" s="242"/>
      <c r="L16" s="242"/>
      <c r="M16" s="242"/>
      <c r="N16" s="242"/>
      <c r="O16" s="242"/>
      <c r="P16" s="242"/>
      <c r="Q16" s="242"/>
      <c r="R16" s="242"/>
      <c r="S16" s="242"/>
      <c r="T16" s="242"/>
      <c r="U16" s="243"/>
    </row>
    <row r="17" spans="7:21">
      <c r="G17" s="58"/>
      <c r="H17" s="58"/>
      <c r="I17" s="61"/>
      <c r="J17" s="241"/>
      <c r="K17" s="242"/>
      <c r="L17" s="242"/>
      <c r="M17" s="242"/>
      <c r="N17" s="242"/>
      <c r="O17" s="242"/>
      <c r="P17" s="242"/>
      <c r="Q17" s="242"/>
      <c r="R17" s="242"/>
      <c r="S17" s="242"/>
      <c r="T17" s="242"/>
      <c r="U17" s="243"/>
    </row>
    <row r="18" spans="7:21">
      <c r="G18" s="58"/>
      <c r="H18" s="58"/>
      <c r="I18" s="61"/>
      <c r="J18" s="241"/>
      <c r="K18" s="242"/>
      <c r="L18" s="242"/>
      <c r="M18" s="242"/>
      <c r="N18" s="242"/>
      <c r="O18" s="242"/>
      <c r="P18" s="242"/>
      <c r="Q18" s="242"/>
      <c r="R18" s="242"/>
      <c r="S18" s="242"/>
      <c r="T18" s="242"/>
      <c r="U18" s="243"/>
    </row>
    <row r="19" spans="7:21">
      <c r="G19" s="58"/>
      <c r="H19" s="58"/>
      <c r="I19" s="61"/>
      <c r="J19" s="241"/>
      <c r="K19" s="242"/>
      <c r="L19" s="242"/>
      <c r="M19" s="242"/>
      <c r="N19" s="242"/>
      <c r="O19" s="242"/>
      <c r="P19" s="242"/>
      <c r="Q19" s="242"/>
      <c r="R19" s="242"/>
      <c r="S19" s="242"/>
      <c r="T19" s="242"/>
      <c r="U19" s="243"/>
    </row>
    <row r="20" spans="7:21">
      <c r="G20" s="58"/>
      <c r="H20" s="58"/>
      <c r="I20" s="61"/>
      <c r="J20" s="241"/>
      <c r="K20" s="242"/>
      <c r="L20" s="242"/>
      <c r="M20" s="242"/>
      <c r="N20" s="242"/>
      <c r="O20" s="242"/>
      <c r="P20" s="242"/>
      <c r="Q20" s="242"/>
      <c r="R20" s="242"/>
      <c r="S20" s="242"/>
      <c r="T20" s="242"/>
      <c r="U20" s="243"/>
    </row>
    <row r="21" spans="7:21">
      <c r="G21" s="58"/>
      <c r="H21" s="58"/>
      <c r="I21" s="61"/>
      <c r="J21" s="241"/>
      <c r="K21" s="242"/>
      <c r="L21" s="242"/>
      <c r="M21" s="242"/>
      <c r="N21" s="242"/>
      <c r="O21" s="242"/>
      <c r="P21" s="242"/>
      <c r="Q21" s="242"/>
      <c r="R21" s="242"/>
      <c r="S21" s="242"/>
      <c r="T21" s="242"/>
      <c r="U21" s="243"/>
    </row>
    <row r="22" spans="7:21">
      <c r="G22" s="58"/>
      <c r="H22" s="58"/>
      <c r="I22" s="61"/>
      <c r="J22" s="241"/>
      <c r="K22" s="242"/>
      <c r="L22" s="242"/>
      <c r="M22" s="242"/>
      <c r="N22" s="242"/>
      <c r="O22" s="242"/>
      <c r="P22" s="242"/>
      <c r="Q22" s="242"/>
      <c r="R22" s="242"/>
      <c r="S22" s="242"/>
      <c r="T22" s="242"/>
      <c r="U22" s="243"/>
    </row>
    <row r="23" spans="7:21">
      <c r="G23" s="58"/>
      <c r="H23" s="58"/>
      <c r="I23" s="61"/>
      <c r="J23" s="241"/>
      <c r="K23" s="242"/>
      <c r="L23" s="242"/>
      <c r="M23" s="242"/>
      <c r="N23" s="242"/>
      <c r="O23" s="242"/>
      <c r="P23" s="242"/>
      <c r="Q23" s="242"/>
      <c r="R23" s="242"/>
      <c r="S23" s="242"/>
      <c r="T23" s="242"/>
      <c r="U23" s="243"/>
    </row>
    <row r="24" spans="7:21">
      <c r="G24" s="58"/>
      <c r="H24" s="58"/>
      <c r="I24" s="61"/>
      <c r="J24" s="241"/>
      <c r="K24" s="242"/>
      <c r="L24" s="242"/>
      <c r="M24" s="242"/>
      <c r="N24" s="242"/>
      <c r="O24" s="242"/>
      <c r="P24" s="242"/>
      <c r="Q24" s="242"/>
      <c r="R24" s="242"/>
      <c r="S24" s="242"/>
      <c r="T24" s="242"/>
      <c r="U24" s="243"/>
    </row>
    <row r="25" spans="7:21">
      <c r="G25" s="58"/>
      <c r="H25" s="58"/>
      <c r="I25" s="61"/>
      <c r="J25" s="241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3"/>
    </row>
    <row r="26" spans="7:21">
      <c r="G26" s="58"/>
      <c r="H26" s="58"/>
      <c r="I26" s="61"/>
      <c r="J26" s="241"/>
      <c r="K26" s="242"/>
      <c r="L26" s="242"/>
      <c r="M26" s="242"/>
      <c r="N26" s="242"/>
      <c r="O26" s="242"/>
      <c r="P26" s="242"/>
      <c r="Q26" s="242"/>
      <c r="R26" s="242"/>
      <c r="S26" s="242"/>
      <c r="T26" s="242"/>
      <c r="U26" s="243"/>
    </row>
    <row r="27" spans="7:21">
      <c r="G27" s="58"/>
      <c r="H27" s="58"/>
      <c r="I27" s="61"/>
      <c r="J27" s="241"/>
      <c r="K27" s="242"/>
      <c r="L27" s="242"/>
      <c r="M27" s="242"/>
      <c r="N27" s="242"/>
      <c r="O27" s="242"/>
      <c r="P27" s="242"/>
      <c r="Q27" s="242"/>
      <c r="R27" s="242"/>
      <c r="S27" s="242"/>
      <c r="T27" s="242"/>
      <c r="U27" s="243"/>
    </row>
    <row r="28" spans="7:21">
      <c r="G28" s="58"/>
      <c r="H28" s="58"/>
      <c r="I28" s="61"/>
      <c r="J28" s="241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3"/>
    </row>
    <row r="29" spans="7:21">
      <c r="G29" s="58"/>
      <c r="H29" s="58"/>
      <c r="I29" s="61"/>
      <c r="J29" s="241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3"/>
    </row>
    <row r="30" spans="7:21">
      <c r="G30" s="58"/>
      <c r="H30" s="58"/>
      <c r="I30" s="61"/>
      <c r="J30" s="241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3"/>
    </row>
    <row r="31" spans="7:21">
      <c r="G31" s="58"/>
      <c r="H31" s="58"/>
      <c r="I31" s="61"/>
      <c r="J31" s="241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3"/>
    </row>
    <row r="32" spans="7:21">
      <c r="G32" s="58"/>
      <c r="H32" s="58"/>
      <c r="I32" s="61"/>
      <c r="J32" s="241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3"/>
    </row>
    <row r="33" spans="7:21">
      <c r="G33" s="58"/>
      <c r="H33" s="58"/>
      <c r="I33" s="61"/>
      <c r="J33" s="241"/>
      <c r="K33" s="242"/>
      <c r="L33" s="242"/>
      <c r="M33" s="242"/>
      <c r="N33" s="242"/>
      <c r="O33" s="242"/>
      <c r="P33" s="242"/>
      <c r="Q33" s="242"/>
      <c r="R33" s="242"/>
      <c r="S33" s="242"/>
      <c r="T33" s="242"/>
      <c r="U33" s="243"/>
    </row>
    <row r="34" spans="7:21">
      <c r="G34" s="58"/>
      <c r="H34" s="58"/>
      <c r="I34" s="61"/>
      <c r="J34" s="241"/>
      <c r="K34" s="242"/>
      <c r="L34" s="242"/>
      <c r="M34" s="242"/>
      <c r="N34" s="242"/>
      <c r="O34" s="242"/>
      <c r="P34" s="242"/>
      <c r="Q34" s="242"/>
      <c r="R34" s="242"/>
      <c r="S34" s="242"/>
      <c r="T34" s="242"/>
      <c r="U34" s="243"/>
    </row>
  </sheetData>
  <mergeCells count="33">
    <mergeCell ref="J33:U33"/>
    <mergeCell ref="J34:U34"/>
    <mergeCell ref="J27:U27"/>
    <mergeCell ref="J28:U28"/>
    <mergeCell ref="J29:U29"/>
    <mergeCell ref="J30:U30"/>
    <mergeCell ref="J31:U31"/>
    <mergeCell ref="J32:U32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</mergeCells>
  <dataValidations count="1">
    <dataValidation type="custom" allowBlank="1" showDropDown="1" sqref="G4:G34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12</xdr:row>
                <xdr:rowOff>104775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H11"/>
  <sheetViews>
    <sheetView zoomScale="40" zoomScaleNormal="40" workbookViewId="0">
      <selection activeCell="C11" sqref="C11"/>
    </sheetView>
  </sheetViews>
  <sheetFormatPr defaultColWidth="9.140625" defaultRowHeight="15"/>
  <cols>
    <col min="1" max="1" width="9.140625" style="2"/>
    <col min="2" max="2" width="3.5703125" style="2" bestFit="1" customWidth="1"/>
    <col min="3" max="3" width="29.42578125" style="2" bestFit="1" customWidth="1"/>
    <col min="4" max="4" width="9.7109375" style="2" bestFit="1" customWidth="1"/>
    <col min="5" max="13" width="9.140625" style="2"/>
    <col min="14" max="14" width="9.85546875" style="2" customWidth="1"/>
    <col min="15" max="16384" width="9.140625" style="2"/>
  </cols>
  <sheetData>
    <row r="2" spans="2:34" ht="15.75" thickBot="1"/>
    <row r="3" spans="2:34" ht="15.75" thickBot="1">
      <c r="B3" s="3"/>
      <c r="C3" s="3"/>
      <c r="D3" s="250" t="s">
        <v>17</v>
      </c>
      <c r="E3" s="251"/>
      <c r="F3" s="251"/>
      <c r="G3" s="251"/>
      <c r="H3" s="251"/>
      <c r="I3" s="251"/>
      <c r="J3" s="252"/>
      <c r="K3" s="253" t="s">
        <v>18</v>
      </c>
      <c r="L3" s="251"/>
      <c r="M3" s="251"/>
      <c r="N3" s="251"/>
      <c r="O3" s="251"/>
      <c r="P3" s="251"/>
      <c r="Q3" s="252"/>
      <c r="R3" s="254" t="s">
        <v>19</v>
      </c>
      <c r="S3" s="251"/>
      <c r="T3" s="251"/>
      <c r="U3" s="251"/>
      <c r="V3" s="251"/>
      <c r="W3" s="251"/>
      <c r="X3" s="252"/>
      <c r="Y3" s="255" t="s">
        <v>20</v>
      </c>
      <c r="Z3" s="251"/>
      <c r="AA3" s="251"/>
      <c r="AB3" s="251"/>
      <c r="AC3" s="251"/>
      <c r="AD3" s="251"/>
      <c r="AE3" s="252"/>
      <c r="AF3" s="256"/>
      <c r="AG3" s="251"/>
      <c r="AH3" s="257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5.75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JACKDAW</cp:lastModifiedBy>
  <dcterms:created xsi:type="dcterms:W3CDTF">2024-09-17T08:03:56Z</dcterms:created>
  <dcterms:modified xsi:type="dcterms:W3CDTF">2024-10-11T13:41:53Z</dcterms:modified>
</cp:coreProperties>
</file>