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esain\Pengeluaran\"/>
    </mc:Choice>
  </mc:AlternateContent>
  <xr:revisionPtr revIDLastSave="0" documentId="13_ncr:1_{2CC4810D-C73D-4929-8068-74B3DF1B6174}" xr6:coauthVersionLast="37" xr6:coauthVersionMax="37" xr10:uidLastSave="{00000000-0000-0000-0000-000000000000}"/>
  <bookViews>
    <workbookView xWindow="0" yWindow="0" windowWidth="19200" windowHeight="6240" tabRatio="585" xr2:uid="{00000000-000D-0000-FFFF-FFFF00000000}"/>
  </bookViews>
  <sheets>
    <sheet name="INPUT TRANSAKSI" sheetId="6" r:id="rId1"/>
    <sheet name="DATA PENGELUARAN" sheetId="9" r:id="rId2"/>
    <sheet name="DATA TRANSAKSI" sheetId="7" r:id="rId3"/>
    <sheet name="DASHBOARD BULANAN" sheetId="1" r:id="rId4"/>
    <sheet name="PENGATURAN" sheetId="5" r:id="rId5"/>
    <sheet name="INPUT" sheetId="4" r:id="rId6"/>
    <sheet name="Sheet2" sheetId="3" r:id="rId7"/>
    <sheet name="Sheet3" sheetId="8" r:id="rId8"/>
  </sheets>
  <calcPr calcId="179021"/>
</workbook>
</file>

<file path=xl/calcChain.xml><?xml version="1.0" encoding="utf-8"?>
<calcChain xmlns="http://schemas.openxmlformats.org/spreadsheetml/2006/main">
  <c r="G8" i="6" l="1"/>
  <c r="J110" i="9"/>
  <c r="K105" i="9"/>
  <c r="J121" i="9" s="1"/>
  <c r="J95" i="9"/>
  <c r="K94" i="9"/>
  <c r="K93" i="9"/>
  <c r="K92" i="9"/>
  <c r="K91" i="9"/>
  <c r="K90" i="9"/>
  <c r="K89" i="9"/>
  <c r="K88" i="9"/>
  <c r="K95" i="9" s="1"/>
  <c r="L8" i="6"/>
  <c r="G19" i="6" l="1"/>
  <c r="M50" i="5"/>
  <c r="L40" i="5"/>
  <c r="M39" i="5"/>
  <c r="M38" i="5"/>
  <c r="M40" i="5" s="1"/>
  <c r="M37" i="5"/>
  <c r="M36" i="5"/>
  <c r="M35" i="5"/>
  <c r="M34" i="5"/>
  <c r="M33" i="5"/>
  <c r="J110" i="7" l="1"/>
  <c r="K105" i="7"/>
  <c r="J121" i="7" s="1"/>
  <c r="K95" i="7"/>
  <c r="J95" i="7"/>
  <c r="K94" i="7"/>
  <c r="K93" i="7"/>
  <c r="K92" i="7"/>
  <c r="K91" i="7"/>
  <c r="K90" i="7"/>
  <c r="K89" i="7"/>
  <c r="K88" i="7"/>
  <c r="J110" i="6" l="1"/>
  <c r="K105" i="6"/>
  <c r="J121" i="6" s="1"/>
  <c r="J95" i="6"/>
  <c r="K94" i="6"/>
  <c r="K93" i="6"/>
  <c r="K92" i="6"/>
  <c r="K91" i="6"/>
  <c r="K90" i="6"/>
  <c r="K89" i="6"/>
  <c r="K88" i="6"/>
  <c r="K95" i="6" s="1"/>
  <c r="J122" i="6" l="1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<sst xmlns="http://schemas.openxmlformats.org/spreadsheetml/2006/main" count="412" uniqueCount="100">
  <si>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</si>
  <si>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</si>
  <si>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</si>
  <si>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</si>
  <si>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</si>
  <si>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</si>
  <si>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</si>
  <si>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</si>
  <si>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</si>
  <si>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</si>
  <si>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</si>
  <si>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</si>
  <si>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</si>
  <si>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</si>
  <si>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</si>
  <si>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</si>
  <si>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</si>
  <si>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</si>
  <si>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</si>
  <si>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</si>
  <si>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</si>
  <si>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</si>
  <si>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</si>
  <si>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</si>
  <si>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</si>
  <si>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</si>
  <si>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</si>
  <si>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</si>
  <si>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</si>
  <si>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</si>
  <si>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</si>
  <si>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</si>
  <si>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</si>
  <si>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</si>
  <si>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</si>
  <si>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</si>
  <si>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</si>
  <si>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</si>
  <si>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</si>
  <si>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</si>
  <si>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</si>
  <si>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</si>
  <si>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</si>
  <si>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</si>
  <si>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</si>
  <si>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</si>
  <si>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</si>
  <si>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</si>
  <si>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</si>
  <si>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</si>
  <si>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</si>
  <si>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</si>
  <si>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</si>
  <si>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</si>
  <si>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</si>
  <si>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</si>
  <si>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</si>
  <si>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</si>
  <si>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</si>
  <si>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</si>
  <si>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</si>
  <si>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</si>
  <si>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</si>
  <si>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</si>
  <si>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</si>
  <si>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</si>
  <si>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</si>
  <si>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</si>
  <si>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</si>
  <si>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</si>
  <si>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</si>
  <si>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</si>
  <si>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</si>
  <si>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</si>
  <si>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</si>
  <si>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</si>
  <si>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</si>
  <si>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</si>
  <si>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</si>
  <si>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</si>
  <si>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</si>
  <si>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</si>
  <si>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</si>
  <si>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</si>
  <si>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</si>
  <si>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</si>
  <si>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</si>
  <si>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</si>
  <si>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</si>
  <si>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</si>
  <si>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</si>
  <si>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</si>
  <si>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</si>
  <si>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</si>
  <si>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</si>
  <si>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</si>
  <si>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</si>
  <si>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BULANAN TPP SEPTEMBER</t>
  </si>
  <si>
    <t>Input  Pengeluaran</t>
  </si>
  <si>
    <t>DATA PENGELUARAN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</si>
</sst>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Rp&quot;* #,##0_-;\-&quot;Rp&quot;* #,##0_-;_-&quot;Rp&quot;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2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40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5" xfId="0" applyFont="1" applyFill="1" applyBorder="1" applyAlignment="1"/>
    <xf numFmtId="9" fontId="19" fillId="14" borderId="55" xfId="0" applyNumberFormat="1" applyFont="1" applyFill="1" applyBorder="1" applyAlignment="1"/>
    <xf numFmtId="0" fontId="21" fillId="14" borderId="58" xfId="0" applyFont="1" applyFill="1" applyBorder="1" applyAlignment="1">
      <alignment horizontal="right"/>
    </xf>
    <xf numFmtId="0" fontId="20" fillId="18" borderId="55" xfId="0" applyFont="1" applyFill="1" applyBorder="1" applyAlignment="1"/>
    <xf numFmtId="0" fontId="21" fillId="18" borderId="58" xfId="0" applyFont="1" applyFill="1" applyBorder="1" applyAlignment="1">
      <alignment horizontal="right"/>
    </xf>
    <xf numFmtId="9" fontId="19" fillId="18" borderId="55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9" xfId="0" applyFont="1" applyFill="1" applyBorder="1" applyAlignment="1">
      <alignment horizontal="right"/>
    </xf>
    <xf numFmtId="0" fontId="18" fillId="18" borderId="60" xfId="0" applyFont="1" applyFill="1" applyBorder="1" applyAlignment="1">
      <alignment horizontal="right"/>
    </xf>
    <xf numFmtId="0" fontId="18" fillId="14" borderId="60" xfId="0" applyFont="1" applyFill="1" applyBorder="1" applyAlignment="1">
      <alignment horizontal="right"/>
    </xf>
    <xf numFmtId="0" fontId="3" fillId="17" borderId="54" xfId="0" applyFont="1" applyFill="1" applyBorder="1" applyAlignment="1"/>
    <xf numFmtId="0" fontId="3" fillId="17" borderId="0" xfId="0" applyFont="1" applyFill="1" applyBorder="1"/>
    <xf numFmtId="0" fontId="3" fillId="17" borderId="56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0" fontId="21" fillId="11" borderId="0" xfId="0" applyFont="1" applyFill="1" applyBorder="1" applyAlignment="1">
      <alignment horizontal="right"/>
    </xf>
    <xf numFmtId="9" fontId="19" fillId="11" borderId="0" xfId="0" applyNumberFormat="1" applyFont="1" applyFill="1" applyBorder="1" applyAlignment="1"/>
    <xf numFmtId="0" fontId="18" fillId="11" borderId="0" xfId="0" applyFont="1" applyFill="1" applyBorder="1" applyAlignment="1">
      <alignment horizontal="right"/>
    </xf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3" fillId="17" borderId="64" xfId="0" applyFont="1" applyFill="1" applyBorder="1" applyAlignment="1"/>
    <xf numFmtId="0" fontId="22" fillId="22" borderId="66" xfId="0" applyFont="1" applyFill="1" applyBorder="1" applyAlignment="1">
      <alignment vertical="center"/>
    </xf>
    <xf numFmtId="0" fontId="26" fillId="22" borderId="66" xfId="0" applyFont="1" applyFill="1" applyBorder="1" applyAlignment="1">
      <alignment horizontal="left" vertical="center"/>
    </xf>
    <xf numFmtId="0" fontId="13" fillId="21" borderId="64" xfId="1" applyFill="1" applyBorder="1" applyAlignment="1"/>
    <xf numFmtId="0" fontId="13" fillId="17" borderId="67" xfId="1" applyFill="1" applyBorder="1" applyAlignment="1"/>
    <xf numFmtId="0" fontId="3" fillId="0" borderId="65" xfId="0" applyFont="1" applyFill="1" applyBorder="1" applyAlignment="1">
      <alignment horizontal="center"/>
    </xf>
    <xf numFmtId="0" fontId="3" fillId="17" borderId="62" xfId="0" applyFont="1" applyFill="1" applyBorder="1" applyAlignment="1">
      <alignment horizontal="center"/>
    </xf>
    <xf numFmtId="0" fontId="3" fillId="17" borderId="65" xfId="0" applyFont="1" applyFill="1" applyBorder="1" applyAlignment="1"/>
    <xf numFmtId="0" fontId="22" fillId="17" borderId="65" xfId="0" applyFont="1" applyFill="1" applyBorder="1" applyAlignment="1">
      <alignment vertical="center"/>
    </xf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17" borderId="7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6" xfId="0" applyNumberFormat="1" applyFont="1" applyFill="1" applyBorder="1" applyAlignment="1">
      <alignment horizontal="center" vertical="center"/>
    </xf>
    <xf numFmtId="165" fontId="21" fillId="22" borderId="66" xfId="0" applyNumberFormat="1" applyFont="1" applyFill="1" applyBorder="1" applyAlignment="1">
      <alignment horizontal="right"/>
    </xf>
    <xf numFmtId="0" fontId="19" fillId="22" borderId="6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4" xfId="0" applyFont="1" applyFill="1" applyBorder="1" applyAlignment="1">
      <alignment horizontal="left" vertical="center"/>
    </xf>
    <xf numFmtId="0" fontId="26" fillId="22" borderId="75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4" xfId="1" applyFill="1" applyBorder="1" applyAlignment="1"/>
    <xf numFmtId="0" fontId="3" fillId="17" borderId="64" xfId="0" applyFont="1" applyFill="1" applyBorder="1" applyAlignment="1"/>
    <xf numFmtId="0" fontId="3" fillId="0" borderId="65" xfId="0" applyFont="1" applyBorder="1" applyAlignment="1"/>
    <xf numFmtId="0" fontId="3" fillId="0" borderId="69" xfId="0" applyFont="1" applyBorder="1" applyAlignment="1"/>
    <xf numFmtId="0" fontId="3" fillId="0" borderId="70" xfId="0" applyFont="1" applyBorder="1" applyAlignment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26" fillId="11" borderId="0" xfId="0" applyFont="1" applyFill="1" applyBorder="1" applyAlignment="1">
      <alignment horizontal="center" vertical="center"/>
    </xf>
    <xf numFmtId="0" fontId="22" fillId="11" borderId="0" xfId="0" applyFont="1" applyFill="1" applyBorder="1" applyAlignment="1">
      <alignment horizontal="center" vertical="center"/>
    </xf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16" fillId="15" borderId="73" xfId="0" applyFont="1" applyFill="1" applyBorder="1" applyAlignment="1">
      <alignment horizontal="center" vertical="center"/>
    </xf>
    <xf numFmtId="0" fontId="7" fillId="21" borderId="64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3" fillId="17" borderId="67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22" fillId="15" borderId="55" xfId="0" applyFont="1" applyFill="1" applyBorder="1" applyAlignment="1">
      <alignment horizontal="center" vertical="center"/>
    </xf>
    <xf numFmtId="0" fontId="22" fillId="15" borderId="58" xfId="0" applyFont="1" applyFill="1" applyBorder="1" applyAlignment="1">
      <alignment horizontal="center" vertical="center"/>
    </xf>
    <xf numFmtId="0" fontId="22" fillId="19" borderId="55" xfId="0" applyFont="1" applyFill="1" applyBorder="1" applyAlignment="1">
      <alignment horizontal="center" vertical="center"/>
    </xf>
    <xf numFmtId="0" fontId="22" fillId="19" borderId="57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0" fontId="28" fillId="22" borderId="66" xfId="0" applyFont="1" applyFill="1" applyBorder="1" applyAlignment="1">
      <alignment horizontal="center" vertical="center"/>
    </xf>
    <xf numFmtId="166" fontId="28" fillId="22" borderId="74" xfId="0" applyNumberFormat="1" applyFont="1" applyFill="1" applyBorder="1" applyAlignment="1">
      <alignment horizontal="left" vertical="center"/>
    </xf>
    <xf numFmtId="42" fontId="28" fillId="22" borderId="66" xfId="0" applyNumberFormat="1" applyFont="1" applyFill="1" applyBorder="1" applyAlignment="1">
      <alignment horizontal="left" vertical="center"/>
    </xf>
    <xf numFmtId="0" fontId="28" fillId="22" borderId="75" xfId="0" applyFont="1" applyFill="1" applyBorder="1" applyAlignment="1">
      <alignment horizontal="left" vertical="center"/>
    </xf>
    <xf numFmtId="165" fontId="28" fillId="22" borderId="66" xfId="0" applyNumberFormat="1" applyFont="1" applyFill="1" applyBorder="1" applyAlignment="1">
      <alignment horizontal="right"/>
    </xf>
    <xf numFmtId="165" fontId="28" fillId="22" borderId="76" xfId="0" applyNumberFormat="1" applyFont="1" applyFill="1" applyBorder="1" applyAlignment="1">
      <alignment horizontal="right"/>
    </xf>
    <xf numFmtId="42" fontId="28" fillId="22" borderId="76" xfId="0" applyNumberFormat="1" applyFont="1" applyFill="1" applyBorder="1" applyAlignment="1">
      <alignment horizontal="left" vertical="center"/>
    </xf>
    <xf numFmtId="0" fontId="28" fillId="22" borderId="77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9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9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10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5522</xdr:colOff>
          <xdr:row>12</xdr:row>
          <xdr:rowOff>63500</xdr:rowOff>
        </xdr:from>
        <xdr:to>
          <xdr:col>6</xdr:col>
          <xdr:colOff>2484782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8757</xdr:colOff>
          <xdr:row>12</xdr:row>
          <xdr:rowOff>62997</xdr:rowOff>
        </xdr:from>
        <xdr:to>
          <xdr:col>11</xdr:col>
          <xdr:colOff>2483067</xdr:colOff>
          <xdr:row>14</xdr:row>
          <xdr:rowOff>16430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EA034964-43E0-42A6-828E-E899277FD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CFB946-49D7-40CF-8A0E-B208CB61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0D7D32-D692-4BC5-88A8-BFCF1F0F4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01190FA-6A17-4DAD-9BFA-5517C5293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C9A885A-A33B-4416-ADD5-19E8EBBA1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98C65DF-7A05-465C-9BF4-7DDC28FD6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F8CDCA6-644D-4CC6-9081-978F5E575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5</xdr:col>
      <xdr:colOff>45357</xdr:colOff>
      <xdr:row>11</xdr:row>
      <xdr:rowOff>136072</xdr:rowOff>
    </xdr:from>
    <xdr:to>
      <xdr:col>6</xdr:col>
      <xdr:colOff>1705429</xdr:colOff>
      <xdr:row>23</xdr:row>
      <xdr:rowOff>117929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2</xdr:col>
          <xdr:colOff>1206500</xdr:colOff>
          <xdr:row>12</xdr:row>
          <xdr:rowOff>120650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65161-4CD7-4DCF-AC66-57C0D9E5AF88}">
  <sheetPr codeName="Sheet5">
    <outlinePr summaryBelow="0" summaryRight="0"/>
  </sheetPr>
  <dimension ref="A1:AA125"/>
  <sheetViews>
    <sheetView tabSelected="1" topLeftCell="A4" zoomScale="70" zoomScaleNormal="70" workbookViewId="0">
      <selection activeCell="K18" sqref="K18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5.54296875" style="41" customWidth="1"/>
    <col min="8" max="8" width="4.1796875" style="41" customWidth="1"/>
    <col min="9" max="9" width="8.1796875" style="41" customWidth="1"/>
    <col min="10" max="10" width="4.1796875" style="41" customWidth="1"/>
    <col min="11" max="12" width="35.54296875" style="41" customWidth="1"/>
    <col min="13" max="13" width="4.179687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72</v>
      </c>
      <c r="D2" s="79"/>
      <c r="E2" s="192" t="s">
        <v>84</v>
      </c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193" t="s">
        <v>73</v>
      </c>
      <c r="C4" s="193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93"/>
      <c r="C5" s="193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4"/>
      <c r="F6" s="125"/>
      <c r="G6" s="128"/>
      <c r="H6" s="129"/>
      <c r="I6" s="82"/>
      <c r="J6" s="124"/>
      <c r="K6" s="163"/>
      <c r="L6" s="128"/>
      <c r="M6" s="129"/>
      <c r="N6" s="186"/>
      <c r="O6" s="186"/>
      <c r="P6" s="187"/>
      <c r="Q6" s="187"/>
      <c r="R6" s="186"/>
      <c r="S6" s="187"/>
      <c r="T6" s="187"/>
      <c r="U6" s="190"/>
      <c r="V6" s="187"/>
      <c r="W6" s="187"/>
      <c r="X6" s="186"/>
      <c r="Y6" s="187"/>
      <c r="Z6" s="83"/>
      <c r="AA6" s="80"/>
    </row>
    <row r="7" spans="1:27" ht="19" customHeight="1">
      <c r="A7" s="62"/>
      <c r="B7" s="62"/>
      <c r="C7" s="99" t="s">
        <v>38</v>
      </c>
      <c r="D7" s="81"/>
      <c r="E7" s="123"/>
      <c r="F7" s="191" t="s">
        <v>41</v>
      </c>
      <c r="G7" s="191"/>
      <c r="H7" s="130"/>
      <c r="I7" s="158"/>
      <c r="J7" s="123"/>
      <c r="K7" s="191" t="s">
        <v>98</v>
      </c>
      <c r="L7" s="191"/>
      <c r="M7" s="130"/>
      <c r="N7" s="81"/>
      <c r="O7" s="188"/>
      <c r="P7" s="188"/>
      <c r="Q7" s="85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99" t="s">
        <v>39</v>
      </c>
      <c r="D8" s="81"/>
      <c r="E8" s="131"/>
      <c r="F8" s="127" t="s">
        <v>85</v>
      </c>
      <c r="G8" s="141" t="str">
        <f ca="1">TEXT(TODAY(), "dd mmmm yyyy")</f>
        <v>20 September 2024</v>
      </c>
      <c r="H8" s="132"/>
      <c r="I8" s="85"/>
      <c r="J8" s="131"/>
      <c r="K8" s="127" t="s">
        <v>85</v>
      </c>
      <c r="L8" s="141" t="str">
        <f ca="1">TEXT(TODAY(), "dd mmmm yyyy")</f>
        <v>20 September 2024</v>
      </c>
      <c r="M8" s="132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99" t="s">
        <v>40</v>
      </c>
      <c r="D9" s="81"/>
      <c r="E9" s="131"/>
      <c r="F9" s="127" t="s">
        <v>86</v>
      </c>
      <c r="G9" s="143"/>
      <c r="H9" s="132"/>
      <c r="I9" s="239"/>
      <c r="J9" s="131"/>
      <c r="K9" s="127" t="s">
        <v>86</v>
      </c>
      <c r="L9" s="143"/>
      <c r="M9" s="132"/>
      <c r="N9" s="85"/>
      <c r="O9" s="189"/>
      <c r="P9" s="189"/>
      <c r="Q9" s="85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00" t="s">
        <v>41</v>
      </c>
      <c r="D10" s="80"/>
      <c r="E10" s="123"/>
      <c r="F10" s="127" t="s">
        <v>87</v>
      </c>
      <c r="G10" s="142"/>
      <c r="H10" s="132"/>
      <c r="I10" s="118"/>
      <c r="J10" s="123"/>
      <c r="K10" s="127" t="s">
        <v>87</v>
      </c>
      <c r="L10" s="142"/>
      <c r="M10" s="132"/>
      <c r="N10" s="85"/>
      <c r="O10" s="118"/>
      <c r="P10" s="119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3"/>
      <c r="F11" s="127" t="s">
        <v>95</v>
      </c>
      <c r="G11" s="143"/>
      <c r="H11" s="132"/>
      <c r="I11" s="120"/>
      <c r="J11" s="123"/>
      <c r="K11" s="127" t="s">
        <v>95</v>
      </c>
      <c r="L11" s="143"/>
      <c r="M11" s="132"/>
      <c r="N11" s="85"/>
      <c r="O11" s="120"/>
      <c r="P11" s="12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74</v>
      </c>
      <c r="D12" s="80"/>
      <c r="E12" s="123"/>
      <c r="F12" s="127" t="s">
        <v>96</v>
      </c>
      <c r="G12" s="143"/>
      <c r="H12" s="133"/>
      <c r="I12" s="85"/>
      <c r="J12" s="123"/>
      <c r="K12" s="127" t="s">
        <v>96</v>
      </c>
      <c r="L12" s="143"/>
      <c r="M12" s="133"/>
      <c r="N12" s="85"/>
      <c r="O12" s="85"/>
      <c r="P12" s="85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75</v>
      </c>
      <c r="D13" s="80"/>
      <c r="E13" s="123"/>
      <c r="F13" s="88"/>
      <c r="G13" s="122"/>
      <c r="H13" s="132"/>
      <c r="I13" s="85"/>
      <c r="J13" s="123"/>
      <c r="K13" s="161"/>
      <c r="L13" s="122"/>
      <c r="M13" s="132"/>
      <c r="N13" s="85"/>
      <c r="O13" s="85"/>
      <c r="P13" s="85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3"/>
      <c r="F14" s="88"/>
      <c r="G14" s="88"/>
      <c r="H14" s="132"/>
      <c r="I14" s="85"/>
      <c r="J14" s="123"/>
      <c r="K14" s="161"/>
      <c r="L14" s="161"/>
      <c r="M14" s="132"/>
      <c r="N14" s="85"/>
      <c r="O14" s="85"/>
      <c r="P14" s="85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24.5" customHeight="1">
      <c r="A15" s="62"/>
      <c r="B15" s="62"/>
      <c r="C15" s="62"/>
      <c r="D15" s="80"/>
      <c r="E15" s="134"/>
      <c r="F15" s="135"/>
      <c r="G15" s="135"/>
      <c r="H15" s="136"/>
      <c r="I15" s="85"/>
      <c r="J15" s="134"/>
      <c r="K15" s="135"/>
      <c r="L15" s="135"/>
      <c r="M15" s="136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4"/>
      <c r="F17" s="125"/>
      <c r="G17" s="128"/>
      <c r="H17" s="129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3"/>
      <c r="F18" s="191" t="s">
        <v>94</v>
      </c>
      <c r="G18" s="191"/>
      <c r="H18" s="13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20" customHeight="1">
      <c r="A19" s="62"/>
      <c r="B19" s="62"/>
      <c r="C19" s="99"/>
      <c r="D19" s="81"/>
      <c r="E19" s="131"/>
      <c r="F19" s="127" t="s">
        <v>85</v>
      </c>
      <c r="G19" s="141" t="str">
        <f ca="1">TEXT(TODAY(), "dd mmmm yyyy")</f>
        <v>20 September 2024</v>
      </c>
      <c r="H19" s="132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44"/>
      <c r="T19" s="144"/>
      <c r="U19" s="144"/>
      <c r="V19" s="144"/>
      <c r="W19" s="144"/>
      <c r="X19" s="144"/>
      <c r="Y19" s="144"/>
      <c r="Z19" s="144"/>
      <c r="AA19" s="80"/>
    </row>
    <row r="20" spans="1:27" ht="20" customHeight="1">
      <c r="A20" s="62"/>
      <c r="B20" s="62"/>
      <c r="C20" s="99"/>
      <c r="D20" s="81"/>
      <c r="E20" s="131"/>
      <c r="F20" s="127" t="s">
        <v>86</v>
      </c>
      <c r="G20" s="141"/>
      <c r="H20" s="132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44"/>
      <c r="T20" s="144"/>
      <c r="U20" s="144"/>
      <c r="V20" s="144"/>
      <c r="W20" s="144"/>
      <c r="X20" s="144"/>
      <c r="Y20" s="144"/>
      <c r="Z20" s="144"/>
      <c r="AA20" s="80"/>
    </row>
    <row r="21" spans="1:27" ht="20" customHeight="1">
      <c r="A21" s="62"/>
      <c r="B21" s="62"/>
      <c r="C21" s="99"/>
      <c r="D21" s="81"/>
      <c r="E21" s="131"/>
      <c r="F21" s="127" t="s">
        <v>87</v>
      </c>
      <c r="G21" s="141"/>
      <c r="H21" s="132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80"/>
    </row>
    <row r="22" spans="1:27" ht="20" customHeight="1">
      <c r="A22" s="62"/>
      <c r="B22" s="62"/>
      <c r="C22" s="99"/>
      <c r="D22" s="81"/>
      <c r="E22" s="131"/>
      <c r="F22" s="127" t="s">
        <v>89</v>
      </c>
      <c r="G22" s="141"/>
      <c r="H22" s="132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80"/>
    </row>
    <row r="23" spans="1:27" ht="20" customHeight="1">
      <c r="A23" s="62"/>
      <c r="B23" s="62"/>
      <c r="C23" s="99"/>
      <c r="D23" s="81"/>
      <c r="E23" s="131"/>
      <c r="F23" s="127" t="s">
        <v>88</v>
      </c>
      <c r="G23" s="141"/>
      <c r="H23" s="132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80"/>
    </row>
    <row r="24" spans="1:27" ht="15.75" customHeight="1">
      <c r="A24" s="62"/>
      <c r="B24" s="62"/>
      <c r="C24" s="62"/>
      <c r="D24" s="80"/>
      <c r="E24" s="123"/>
      <c r="F24" s="146"/>
      <c r="G24" s="122"/>
      <c r="H24" s="132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3"/>
      <c r="F25" s="146"/>
      <c r="G25" s="146"/>
      <c r="H25" s="132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4"/>
      <c r="F26" s="135"/>
      <c r="G26" s="135"/>
      <c r="H26" s="136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168" t="s">
        <v>16</v>
      </c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67" t="s">
        <v>15</v>
      </c>
      <c r="H86" s="167"/>
      <c r="I86" s="167"/>
      <c r="J86" s="167"/>
      <c r="K86" s="43"/>
      <c r="L86" s="43"/>
      <c r="N86" s="169" t="s">
        <v>11</v>
      </c>
      <c r="O86" s="169"/>
      <c r="P86" s="169"/>
      <c r="Q86" s="169"/>
      <c r="R86" s="169"/>
      <c r="S86" s="169"/>
      <c r="U86" s="169" t="s">
        <v>28</v>
      </c>
      <c r="V86" s="169"/>
      <c r="W86" s="169"/>
      <c r="X86" s="169"/>
      <c r="Y86" s="169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169"/>
      <c r="O87" s="169"/>
      <c r="P87" s="169"/>
      <c r="Q87" s="169"/>
      <c r="R87" s="169"/>
      <c r="S87" s="169"/>
      <c r="U87" s="169"/>
      <c r="V87" s="169"/>
      <c r="W87" s="169"/>
      <c r="X87" s="169"/>
      <c r="Y87" s="169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170">
        <v>6000000</v>
      </c>
      <c r="O88" s="171"/>
      <c r="P88" s="171"/>
      <c r="Q88" s="171"/>
      <c r="R88" s="171"/>
      <c r="S88" s="172"/>
      <c r="U88" s="170">
        <v>6000000</v>
      </c>
      <c r="V88" s="171"/>
      <c r="W88" s="171"/>
      <c r="X88" s="171"/>
      <c r="Y88" s="172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173"/>
      <c r="O89" s="174"/>
      <c r="P89" s="174"/>
      <c r="Q89" s="174"/>
      <c r="R89" s="174"/>
      <c r="S89" s="175"/>
      <c r="U89" s="173"/>
      <c r="V89" s="174"/>
      <c r="W89" s="174"/>
      <c r="X89" s="174"/>
      <c r="Y89" s="175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173"/>
      <c r="O90" s="174"/>
      <c r="P90" s="174"/>
      <c r="Q90" s="174"/>
      <c r="R90" s="174"/>
      <c r="S90" s="175"/>
      <c r="U90" s="173"/>
      <c r="V90" s="174"/>
      <c r="W90" s="174"/>
      <c r="X90" s="174"/>
      <c r="Y90" s="175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173"/>
      <c r="O91" s="174"/>
      <c r="P91" s="174"/>
      <c r="Q91" s="174"/>
      <c r="R91" s="174"/>
      <c r="S91" s="175"/>
      <c r="U91" s="173"/>
      <c r="V91" s="174"/>
      <c r="W91" s="174"/>
      <c r="X91" s="174"/>
      <c r="Y91" s="175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173"/>
      <c r="O92" s="174"/>
      <c r="P92" s="174"/>
      <c r="Q92" s="174"/>
      <c r="R92" s="174"/>
      <c r="S92" s="175"/>
      <c r="U92" s="173"/>
      <c r="V92" s="174"/>
      <c r="W92" s="174"/>
      <c r="X92" s="174"/>
      <c r="Y92" s="175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173"/>
      <c r="O93" s="174"/>
      <c r="P93" s="174"/>
      <c r="Q93" s="174"/>
      <c r="R93" s="174"/>
      <c r="S93" s="175"/>
      <c r="U93" s="173"/>
      <c r="V93" s="174"/>
      <c r="W93" s="174"/>
      <c r="X93" s="174"/>
      <c r="Y93" s="175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173"/>
      <c r="O94" s="174"/>
      <c r="P94" s="174"/>
      <c r="Q94" s="174"/>
      <c r="R94" s="174"/>
      <c r="S94" s="175"/>
      <c r="U94" s="173"/>
      <c r="V94" s="174"/>
      <c r="W94" s="174"/>
      <c r="X94" s="174"/>
      <c r="Y94" s="175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76"/>
      <c r="O95" s="177"/>
      <c r="P95" s="177"/>
      <c r="Q95" s="177"/>
      <c r="R95" s="177"/>
      <c r="S95" s="178"/>
      <c r="U95" s="176"/>
      <c r="V95" s="177"/>
      <c r="W95" s="177"/>
      <c r="X95" s="177"/>
      <c r="Y95" s="178"/>
    </row>
    <row r="97" spans="7:25" ht="15.75" customHeight="1">
      <c r="G97" s="179" t="s">
        <v>12</v>
      </c>
      <c r="H97" s="179"/>
      <c r="I97" s="179"/>
      <c r="J97" s="179"/>
      <c r="K97" s="179"/>
      <c r="L97" s="101"/>
      <c r="N97" s="169" t="s">
        <v>29</v>
      </c>
      <c r="O97" s="169"/>
      <c r="P97" s="169"/>
      <c r="Q97" s="169"/>
      <c r="R97" s="169"/>
      <c r="S97" s="169"/>
      <c r="U97" s="180" t="s">
        <v>27</v>
      </c>
      <c r="V97" s="181"/>
      <c r="W97" s="181"/>
      <c r="X97" s="181"/>
      <c r="Y97" s="182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169"/>
      <c r="O98" s="169"/>
      <c r="P98" s="169"/>
      <c r="Q98" s="169"/>
      <c r="R98" s="169"/>
      <c r="S98" s="169"/>
      <c r="U98" s="183"/>
      <c r="V98" s="184"/>
      <c r="W98" s="184"/>
      <c r="X98" s="184"/>
      <c r="Y98" s="185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170">
        <v>6000000</v>
      </c>
      <c r="O99" s="171"/>
      <c r="P99" s="171"/>
      <c r="Q99" s="171"/>
      <c r="R99" s="171"/>
      <c r="S99" s="172"/>
      <c r="U99" s="170">
        <v>6000000</v>
      </c>
      <c r="V99" s="171"/>
      <c r="W99" s="171"/>
      <c r="X99" s="171"/>
      <c r="Y99" s="172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173"/>
      <c r="O100" s="174"/>
      <c r="P100" s="174"/>
      <c r="Q100" s="174"/>
      <c r="R100" s="174"/>
      <c r="S100" s="175"/>
      <c r="U100" s="173"/>
      <c r="V100" s="174"/>
      <c r="W100" s="174"/>
      <c r="X100" s="174"/>
      <c r="Y100" s="175"/>
    </row>
    <row r="101" spans="7:25" ht="15.75" customHeight="1">
      <c r="G101" s="77"/>
      <c r="H101" s="50"/>
      <c r="I101" s="50"/>
      <c r="J101" s="77"/>
      <c r="K101" s="45"/>
      <c r="L101" s="102"/>
      <c r="N101" s="173"/>
      <c r="O101" s="174"/>
      <c r="P101" s="174"/>
      <c r="Q101" s="174"/>
      <c r="R101" s="174"/>
      <c r="S101" s="175"/>
      <c r="U101" s="173"/>
      <c r="V101" s="174"/>
      <c r="W101" s="174"/>
      <c r="X101" s="174"/>
      <c r="Y101" s="175"/>
    </row>
    <row r="102" spans="7:25" ht="15.75" customHeight="1">
      <c r="G102" s="51"/>
      <c r="H102" s="51"/>
      <c r="I102" s="51"/>
      <c r="J102" s="52"/>
      <c r="K102" s="52"/>
      <c r="L102" s="104"/>
      <c r="N102" s="173"/>
      <c r="O102" s="174"/>
      <c r="P102" s="174"/>
      <c r="Q102" s="174"/>
      <c r="R102" s="174"/>
      <c r="S102" s="175"/>
      <c r="U102" s="173"/>
      <c r="V102" s="174"/>
      <c r="W102" s="174"/>
      <c r="X102" s="174"/>
      <c r="Y102" s="175"/>
    </row>
    <row r="103" spans="7:25" ht="15.75" customHeight="1">
      <c r="G103" s="51"/>
      <c r="H103" s="51"/>
      <c r="I103" s="51"/>
      <c r="J103" s="52"/>
      <c r="K103" s="52"/>
      <c r="L103" s="104"/>
      <c r="N103" s="173"/>
      <c r="O103" s="174"/>
      <c r="P103" s="174"/>
      <c r="Q103" s="174"/>
      <c r="R103" s="174"/>
      <c r="S103" s="175"/>
      <c r="U103" s="173"/>
      <c r="V103" s="174"/>
      <c r="W103" s="174"/>
      <c r="X103" s="174"/>
      <c r="Y103" s="175"/>
    </row>
    <row r="104" spans="7:25" ht="15.75" customHeight="1">
      <c r="G104" s="51"/>
      <c r="H104" s="51"/>
      <c r="I104" s="51"/>
      <c r="J104" s="52"/>
      <c r="K104" s="52"/>
      <c r="L104" s="104"/>
      <c r="N104" s="173"/>
      <c r="O104" s="174"/>
      <c r="P104" s="174"/>
      <c r="Q104" s="174"/>
      <c r="R104" s="174"/>
      <c r="S104" s="175"/>
      <c r="U104" s="173"/>
      <c r="V104" s="174"/>
      <c r="W104" s="174"/>
      <c r="X104" s="174"/>
      <c r="Y104" s="175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73"/>
      <c r="O105" s="174"/>
      <c r="P105" s="174"/>
      <c r="Q105" s="174"/>
      <c r="R105" s="174"/>
      <c r="S105" s="175"/>
      <c r="U105" s="173"/>
      <c r="V105" s="174"/>
      <c r="W105" s="174"/>
      <c r="X105" s="174"/>
      <c r="Y105" s="175"/>
    </row>
    <row r="106" spans="7:25" ht="15.75" customHeight="1">
      <c r="N106" s="176"/>
      <c r="O106" s="177"/>
      <c r="P106" s="177"/>
      <c r="Q106" s="177"/>
      <c r="R106" s="177"/>
      <c r="S106" s="178"/>
      <c r="U106" s="176"/>
      <c r="V106" s="177"/>
      <c r="W106" s="177"/>
      <c r="X106" s="177"/>
      <c r="Y106" s="178"/>
    </row>
    <row r="108" spans="7:25" ht="15.75" customHeight="1">
      <c r="G108" s="167" t="s">
        <v>31</v>
      </c>
      <c r="H108" s="167"/>
      <c r="I108" s="167"/>
      <c r="J108" s="167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3">
    <mergeCell ref="F18:G18"/>
    <mergeCell ref="F7:G7"/>
    <mergeCell ref="E2:P2"/>
    <mergeCell ref="B4:C5"/>
    <mergeCell ref="N6:Q6"/>
    <mergeCell ref="K7:L7"/>
    <mergeCell ref="X6:Y6"/>
    <mergeCell ref="O7:P7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8A43F814-BF43-4862-8D5B-2DD07CAD8DE4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6350</xdr:colOff>
                <xdr:row>12</xdr:row>
                <xdr:rowOff>63500</xdr:rowOff>
              </from>
              <to>
                <xdr:col>12</xdr:col>
                <xdr:colOff>0</xdr:colOff>
                <xdr:row>14</xdr:row>
                <xdr:rowOff>19050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6350</xdr:colOff>
                <xdr:row>12</xdr:row>
                <xdr:rowOff>63500</xdr:rowOff>
              </from>
              <to>
                <xdr:col>7</xdr:col>
                <xdr:colOff>0</xdr:colOff>
                <xdr:row>14</xdr:row>
                <xdr:rowOff>19050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showInputMessage="1" showErrorMessage="1" xr:uid="{C9464DE8-B2A3-4BD5-BEFC-6B851B310CE5}">
          <x14:formula1>
            <xm:f>PENGATURAN!$D$5:$D$16</xm:f>
          </x14:formula1>
          <xm:sqref>O7</xm:sqref>
        </x14:dataValidation>
        <x14:dataValidation type="list" allowBlank="1" showInputMessage="1" showErrorMessage="1" xr:uid="{A6581D0B-0A6C-45A8-AE91-CA4A2C191C98}">
          <x14:formula1>
            <xm:f>PENGATURAN!$B$21:$B$27</xm:f>
          </x14:formula1>
          <xm:sqref>G22</xm:sqref>
        </x14:dataValidation>
        <x14:dataValidation type="list" allowBlank="1" showInputMessage="1" showErrorMessage="1" xr:uid="{D35C9022-42A5-4AA0-A10D-9B27061FFF62}">
          <x14:formula1>
            <xm:f>PENGATURAN!$B$21:$B$32</xm:f>
          </x14:formula1>
          <xm:sqref>G11:G12 L11:L12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17771-F1C3-4CD3-ADFD-6978F0F9FC2E}">
  <sheetPr codeName="Sheet8">
    <outlinePr summaryBelow="0" summaryRight="0"/>
  </sheetPr>
  <dimension ref="A1:AA125"/>
  <sheetViews>
    <sheetView zoomScale="55" zoomScaleNormal="55" workbookViewId="0">
      <selection activeCell="E3" sqref="E3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6328125" style="41" customWidth="1"/>
    <col min="9" max="9" width="23" style="41" customWidth="1"/>
    <col min="10" max="10" width="31.4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58"/>
      <c r="S1" s="158"/>
      <c r="T1" s="158"/>
      <c r="U1" s="158"/>
      <c r="V1" s="158"/>
      <c r="W1" s="158"/>
      <c r="X1" s="158"/>
      <c r="Y1" s="158"/>
      <c r="Z1" s="158"/>
      <c r="AA1" s="80"/>
    </row>
    <row r="2" spans="1:27" ht="19.5" customHeight="1">
      <c r="A2" s="97"/>
      <c r="B2" s="97"/>
      <c r="C2" s="97" t="s">
        <v>72</v>
      </c>
      <c r="D2" s="79"/>
      <c r="E2" s="192" t="s">
        <v>99</v>
      </c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61"/>
      <c r="R2" s="158"/>
      <c r="S2" s="158"/>
      <c r="T2" s="158"/>
      <c r="U2" s="158"/>
      <c r="V2" s="158"/>
      <c r="W2" s="158"/>
      <c r="X2" s="158"/>
      <c r="Y2" s="158"/>
      <c r="Z2" s="158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61"/>
      <c r="R3" s="158"/>
      <c r="S3" s="158"/>
      <c r="T3" s="158"/>
      <c r="U3" s="158"/>
      <c r="V3" s="158"/>
      <c r="W3" s="158"/>
      <c r="X3" s="158"/>
      <c r="Y3" s="158"/>
      <c r="Z3" s="158"/>
      <c r="AA3" s="80"/>
    </row>
    <row r="4" spans="1:27" ht="16" customHeight="1">
      <c r="A4" s="62"/>
      <c r="B4" s="193" t="s">
        <v>73</v>
      </c>
      <c r="C4" s="193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61"/>
      <c r="R4" s="158"/>
      <c r="S4" s="158"/>
      <c r="T4" s="158"/>
      <c r="U4" s="158"/>
      <c r="V4" s="158"/>
      <c r="W4" s="158"/>
      <c r="X4" s="158"/>
      <c r="Y4" s="158"/>
      <c r="Z4" s="158"/>
      <c r="AA4" s="80"/>
    </row>
    <row r="5" spans="1:27" ht="15.75" customHeight="1">
      <c r="A5" s="62"/>
      <c r="B5" s="193"/>
      <c r="C5" s="193"/>
      <c r="D5" s="79"/>
      <c r="E5" s="79"/>
      <c r="F5" s="79"/>
      <c r="G5" s="79"/>
      <c r="H5" s="158"/>
      <c r="I5" s="158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4"/>
      <c r="F6" s="163"/>
      <c r="G6" s="128"/>
      <c r="H6" s="162"/>
      <c r="I6" s="162"/>
      <c r="J6" s="200"/>
      <c r="K6" s="201"/>
      <c r="L6" s="201"/>
      <c r="M6" s="201"/>
      <c r="N6" s="200"/>
      <c r="O6" s="200"/>
      <c r="P6" s="201"/>
      <c r="Q6" s="202"/>
      <c r="R6" s="186"/>
      <c r="S6" s="187"/>
      <c r="T6" s="187"/>
      <c r="U6" s="190"/>
      <c r="V6" s="187"/>
      <c r="W6" s="187"/>
      <c r="X6" s="186"/>
      <c r="Y6" s="187"/>
      <c r="Z6" s="83"/>
      <c r="AA6" s="80"/>
    </row>
    <row r="7" spans="1:27" ht="19" customHeight="1">
      <c r="A7" s="62"/>
      <c r="B7" s="62"/>
      <c r="C7" s="99" t="s">
        <v>38</v>
      </c>
      <c r="D7" s="81"/>
      <c r="E7" s="123"/>
      <c r="F7" s="197" t="s">
        <v>42</v>
      </c>
      <c r="G7" s="198"/>
      <c r="H7" s="198"/>
      <c r="I7" s="198"/>
      <c r="J7" s="199"/>
      <c r="K7" s="161"/>
      <c r="L7" s="194"/>
      <c r="M7" s="194"/>
      <c r="N7" s="86"/>
      <c r="O7" s="195"/>
      <c r="P7" s="195"/>
      <c r="Q7" s="132"/>
      <c r="R7" s="158"/>
      <c r="S7" s="158"/>
      <c r="T7" s="158"/>
      <c r="U7" s="158"/>
      <c r="V7" s="158"/>
      <c r="W7" s="158"/>
      <c r="X7" s="158"/>
      <c r="Y7" s="158"/>
      <c r="Z7" s="158"/>
      <c r="AA7" s="80"/>
    </row>
    <row r="8" spans="1:27" ht="20" customHeight="1">
      <c r="A8" s="62"/>
      <c r="B8" s="62"/>
      <c r="C8" s="99" t="s">
        <v>39</v>
      </c>
      <c r="D8" s="81"/>
      <c r="E8" s="131"/>
      <c r="F8" s="147" t="s">
        <v>85</v>
      </c>
      <c r="G8" s="127" t="s">
        <v>86</v>
      </c>
      <c r="H8" s="127" t="s">
        <v>87</v>
      </c>
      <c r="I8" s="127" t="s">
        <v>95</v>
      </c>
      <c r="J8" s="148" t="s">
        <v>96</v>
      </c>
      <c r="K8" s="161"/>
      <c r="L8" s="161"/>
      <c r="M8" s="161"/>
      <c r="N8" s="161"/>
      <c r="O8" s="161"/>
      <c r="P8" s="161"/>
      <c r="Q8" s="132"/>
      <c r="R8" s="158"/>
      <c r="S8" s="158"/>
      <c r="T8" s="158"/>
      <c r="U8" s="158"/>
      <c r="V8" s="158"/>
      <c r="W8" s="158"/>
      <c r="X8" s="158"/>
      <c r="Y8" s="158"/>
      <c r="Z8" s="158"/>
      <c r="AA8" s="80"/>
    </row>
    <row r="9" spans="1:27" ht="20" customHeight="1">
      <c r="A9" s="62"/>
      <c r="B9" s="62"/>
      <c r="C9" s="99" t="s">
        <v>40</v>
      </c>
      <c r="D9" s="81"/>
      <c r="E9" s="131"/>
      <c r="F9" s="232">
        <v>45554</v>
      </c>
      <c r="G9" s="231" t="s">
        <v>97</v>
      </c>
      <c r="H9" s="233">
        <v>2100000</v>
      </c>
      <c r="I9" s="231" t="s">
        <v>34</v>
      </c>
      <c r="J9" s="234" t="s">
        <v>5</v>
      </c>
      <c r="K9" s="161"/>
      <c r="L9" s="196"/>
      <c r="M9" s="196"/>
      <c r="N9" s="161"/>
      <c r="O9" s="196"/>
      <c r="P9" s="196"/>
      <c r="Q9" s="132"/>
      <c r="R9" s="158"/>
      <c r="S9" s="158"/>
      <c r="T9" s="158"/>
      <c r="U9" s="158"/>
      <c r="V9" s="158"/>
      <c r="W9" s="158"/>
      <c r="X9" s="158"/>
      <c r="Y9" s="158"/>
      <c r="Z9" s="158"/>
      <c r="AA9" s="80"/>
    </row>
    <row r="10" spans="1:27" ht="20" customHeight="1">
      <c r="A10" s="62"/>
      <c r="B10" s="62"/>
      <c r="C10" s="100" t="s">
        <v>41</v>
      </c>
      <c r="D10" s="80"/>
      <c r="E10" s="123"/>
      <c r="F10" s="232"/>
      <c r="G10" s="235"/>
      <c r="H10" s="233"/>
      <c r="I10" s="235"/>
      <c r="J10" s="234"/>
      <c r="K10" s="161"/>
      <c r="L10" s="149"/>
      <c r="M10" s="150"/>
      <c r="N10" s="161"/>
      <c r="O10" s="149"/>
      <c r="P10" s="150"/>
      <c r="Q10" s="132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3"/>
      <c r="F11" s="232"/>
      <c r="G11" s="231"/>
      <c r="H11" s="233"/>
      <c r="I11" s="231"/>
      <c r="J11" s="234"/>
      <c r="K11" s="161"/>
      <c r="L11" s="151"/>
      <c r="M11" s="152"/>
      <c r="N11" s="161"/>
      <c r="O11" s="151"/>
      <c r="P11" s="152"/>
      <c r="Q11" s="132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74</v>
      </c>
      <c r="D12" s="80"/>
      <c r="E12" s="123"/>
      <c r="F12" s="232"/>
      <c r="G12" s="126"/>
      <c r="H12" s="233"/>
      <c r="I12" s="126"/>
      <c r="J12" s="234"/>
      <c r="K12" s="161"/>
      <c r="L12" s="161"/>
      <c r="M12" s="161"/>
      <c r="N12" s="161"/>
      <c r="O12" s="161"/>
      <c r="P12" s="161"/>
      <c r="Q12" s="132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75</v>
      </c>
      <c r="D13" s="80"/>
      <c r="E13" s="123"/>
      <c r="F13" s="232"/>
      <c r="G13" s="231"/>
      <c r="H13" s="233"/>
      <c r="I13" s="231"/>
      <c r="J13" s="234"/>
      <c r="K13" s="161"/>
      <c r="L13" s="161"/>
      <c r="M13" s="161"/>
      <c r="N13" s="161"/>
      <c r="O13" s="161"/>
      <c r="P13" s="161"/>
      <c r="Q13" s="132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3"/>
      <c r="F14" s="232"/>
      <c r="G14" s="235"/>
      <c r="H14" s="233"/>
      <c r="I14" s="235"/>
      <c r="J14" s="234"/>
      <c r="K14" s="161"/>
      <c r="L14" s="161"/>
      <c r="M14" s="161"/>
      <c r="N14" s="161"/>
      <c r="O14" s="161"/>
      <c r="P14" s="161"/>
      <c r="Q14" s="132"/>
      <c r="R14" s="158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3"/>
      <c r="F15" s="232"/>
      <c r="G15" s="231"/>
      <c r="H15" s="233"/>
      <c r="I15" s="231"/>
      <c r="J15" s="234"/>
      <c r="K15" s="161"/>
      <c r="L15" s="161"/>
      <c r="M15" s="161"/>
      <c r="N15" s="161"/>
      <c r="O15" s="161"/>
      <c r="P15" s="161"/>
      <c r="Q15" s="132"/>
      <c r="R15" s="158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3"/>
      <c r="F16" s="232"/>
      <c r="G16" s="126"/>
      <c r="H16" s="233"/>
      <c r="I16" s="126"/>
      <c r="J16" s="234"/>
      <c r="K16" s="161"/>
      <c r="L16" s="161"/>
      <c r="M16" s="161"/>
      <c r="N16" s="161"/>
      <c r="O16" s="161"/>
      <c r="P16" s="161"/>
      <c r="Q16" s="132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3"/>
      <c r="F17" s="232"/>
      <c r="G17" s="231"/>
      <c r="H17" s="233"/>
      <c r="I17" s="231"/>
      <c r="J17" s="234"/>
      <c r="K17" s="161"/>
      <c r="L17" s="161"/>
      <c r="M17" s="161"/>
      <c r="N17" s="161"/>
      <c r="O17" s="161"/>
      <c r="P17" s="161"/>
      <c r="Q17" s="132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3"/>
      <c r="F18" s="232"/>
      <c r="G18" s="235"/>
      <c r="H18" s="233"/>
      <c r="I18" s="235"/>
      <c r="J18" s="234"/>
      <c r="K18" s="161"/>
      <c r="L18" s="161"/>
      <c r="M18" s="161"/>
      <c r="N18" s="161"/>
      <c r="O18" s="161"/>
      <c r="P18" s="161"/>
      <c r="Q18" s="132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3"/>
      <c r="F19" s="232"/>
      <c r="G19" s="231"/>
      <c r="H19" s="233"/>
      <c r="I19" s="231"/>
      <c r="J19" s="234"/>
      <c r="K19" s="161"/>
      <c r="L19" s="161"/>
      <c r="M19" s="161"/>
      <c r="N19" s="161"/>
      <c r="O19" s="161"/>
      <c r="P19" s="161"/>
      <c r="Q19" s="132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3"/>
      <c r="F20" s="232"/>
      <c r="G20" s="126"/>
      <c r="H20" s="233"/>
      <c r="I20" s="126"/>
      <c r="J20" s="234"/>
      <c r="K20" s="161"/>
      <c r="L20" s="161"/>
      <c r="M20" s="161"/>
      <c r="N20" s="161"/>
      <c r="O20" s="161"/>
      <c r="P20" s="161"/>
      <c r="Q20" s="132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3"/>
      <c r="F21" s="232"/>
      <c r="G21" s="231"/>
      <c r="H21" s="233"/>
      <c r="I21" s="231"/>
      <c r="J21" s="234"/>
      <c r="K21" s="161"/>
      <c r="L21" s="161"/>
      <c r="M21" s="161"/>
      <c r="N21" s="161"/>
      <c r="O21" s="161"/>
      <c r="P21" s="161"/>
      <c r="Q21" s="132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3"/>
      <c r="F22" s="232"/>
      <c r="G22" s="235"/>
      <c r="H22" s="233"/>
      <c r="I22" s="235"/>
      <c r="J22" s="234"/>
      <c r="K22" s="161"/>
      <c r="L22" s="161"/>
      <c r="M22" s="161"/>
      <c r="N22" s="161"/>
      <c r="O22" s="161"/>
      <c r="P22" s="161"/>
      <c r="Q22" s="132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3"/>
      <c r="F23" s="232"/>
      <c r="G23" s="231"/>
      <c r="H23" s="233"/>
      <c r="I23" s="231"/>
      <c r="J23" s="234"/>
      <c r="K23" s="161"/>
      <c r="L23" s="161"/>
      <c r="M23" s="161"/>
      <c r="N23" s="161"/>
      <c r="O23" s="161"/>
      <c r="P23" s="161"/>
      <c r="Q23" s="132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3"/>
      <c r="F24" s="232"/>
      <c r="G24" s="126"/>
      <c r="H24" s="233"/>
      <c r="I24" s="126"/>
      <c r="J24" s="234"/>
      <c r="K24" s="161"/>
      <c r="L24" s="161"/>
      <c r="M24" s="161"/>
      <c r="N24" s="161"/>
      <c r="O24" s="161"/>
      <c r="P24" s="161"/>
      <c r="Q24" s="132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3"/>
      <c r="F25" s="232"/>
      <c r="G25" s="231"/>
      <c r="H25" s="233"/>
      <c r="I25" s="231"/>
      <c r="J25" s="234"/>
      <c r="K25" s="161"/>
      <c r="L25" s="161"/>
      <c r="M25" s="161"/>
      <c r="N25" s="161"/>
      <c r="O25" s="161"/>
      <c r="P25" s="161"/>
      <c r="Q25" s="132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3"/>
      <c r="F26" s="232"/>
      <c r="G26" s="235"/>
      <c r="H26" s="233"/>
      <c r="I26" s="235"/>
      <c r="J26" s="234"/>
      <c r="K26" s="161"/>
      <c r="L26" s="161"/>
      <c r="M26" s="161"/>
      <c r="N26" s="161"/>
      <c r="O26" s="161"/>
      <c r="P26" s="161"/>
      <c r="Q26" s="132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3"/>
      <c r="F27" s="232"/>
      <c r="G27" s="231"/>
      <c r="H27" s="233"/>
      <c r="I27" s="231"/>
      <c r="J27" s="234"/>
      <c r="K27" s="161"/>
      <c r="L27" s="161"/>
      <c r="M27" s="161"/>
      <c r="N27" s="161"/>
      <c r="O27" s="161"/>
      <c r="P27" s="161"/>
      <c r="Q27" s="132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3"/>
      <c r="F28" s="232"/>
      <c r="G28" s="126"/>
      <c r="H28" s="233"/>
      <c r="I28" s="126"/>
      <c r="J28" s="234"/>
      <c r="K28" s="161"/>
      <c r="L28" s="161"/>
      <c r="M28" s="161"/>
      <c r="N28" s="161"/>
      <c r="O28" s="161"/>
      <c r="P28" s="161"/>
      <c r="Q28" s="132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3"/>
      <c r="F29" s="232"/>
      <c r="G29" s="231"/>
      <c r="H29" s="233"/>
      <c r="I29" s="231"/>
      <c r="J29" s="234"/>
      <c r="K29" s="161"/>
      <c r="L29" s="161"/>
      <c r="M29" s="161"/>
      <c r="N29" s="161"/>
      <c r="O29" s="161"/>
      <c r="P29" s="161"/>
      <c r="Q29" s="132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3"/>
      <c r="F30" s="232"/>
      <c r="G30" s="235"/>
      <c r="H30" s="233"/>
      <c r="I30" s="235"/>
      <c r="J30" s="234"/>
      <c r="K30" s="161"/>
      <c r="L30" s="161"/>
      <c r="M30" s="161"/>
      <c r="N30" s="161"/>
      <c r="O30" s="161"/>
      <c r="P30" s="161"/>
      <c r="Q30" s="132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3"/>
      <c r="F31" s="232"/>
      <c r="G31" s="231"/>
      <c r="H31" s="233"/>
      <c r="I31" s="231"/>
      <c r="J31" s="234"/>
      <c r="K31" s="161"/>
      <c r="L31" s="161"/>
      <c r="M31" s="161"/>
      <c r="N31" s="161"/>
      <c r="O31" s="161"/>
      <c r="P31" s="161"/>
      <c r="Q31" s="132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3"/>
      <c r="F32" s="232"/>
      <c r="G32" s="126"/>
      <c r="H32" s="233"/>
      <c r="I32" s="126"/>
      <c r="J32" s="234"/>
      <c r="K32" s="161"/>
      <c r="L32" s="161"/>
      <c r="M32" s="161"/>
      <c r="N32" s="161"/>
      <c r="O32" s="161"/>
      <c r="P32" s="161"/>
      <c r="Q32" s="132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3"/>
      <c r="F33" s="232"/>
      <c r="G33" s="231"/>
      <c r="H33" s="233"/>
      <c r="I33" s="231"/>
      <c r="J33" s="234"/>
      <c r="K33" s="161"/>
      <c r="L33" s="161"/>
      <c r="M33" s="161"/>
      <c r="N33" s="161"/>
      <c r="O33" s="161"/>
      <c r="P33" s="161"/>
      <c r="Q33" s="132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3"/>
      <c r="F34" s="232"/>
      <c r="G34" s="236"/>
      <c r="H34" s="237"/>
      <c r="I34" s="236"/>
      <c r="J34" s="238"/>
      <c r="K34" s="161"/>
      <c r="L34" s="161"/>
      <c r="M34" s="161"/>
      <c r="N34" s="161"/>
      <c r="O34" s="161"/>
      <c r="P34" s="161"/>
      <c r="Q34" s="132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3"/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61"/>
      <c r="Q35" s="132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3"/>
      <c r="F36" s="161"/>
      <c r="G36" s="161"/>
      <c r="H36" s="161"/>
      <c r="I36" s="161"/>
      <c r="J36" s="161"/>
      <c r="K36" s="161"/>
      <c r="L36" s="161"/>
      <c r="M36" s="161"/>
      <c r="N36" s="161"/>
      <c r="O36" s="161"/>
      <c r="P36" s="161"/>
      <c r="Q36" s="132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3"/>
      <c r="F37" s="161"/>
      <c r="G37" s="161"/>
      <c r="H37" s="161"/>
      <c r="I37" s="161"/>
      <c r="J37" s="161"/>
      <c r="K37" s="161"/>
      <c r="L37" s="161"/>
      <c r="M37" s="161"/>
      <c r="N37" s="161"/>
      <c r="O37" s="161"/>
      <c r="P37" s="161"/>
      <c r="Q37" s="132"/>
    </row>
    <row r="38" spans="1:27" ht="15.75" customHeight="1">
      <c r="A38" s="62"/>
      <c r="B38" s="62"/>
      <c r="C38" s="62"/>
      <c r="D38" s="80"/>
      <c r="E38" s="123"/>
      <c r="F38" s="161"/>
      <c r="G38" s="161"/>
      <c r="H38" s="161"/>
      <c r="I38" s="161"/>
      <c r="J38" s="161"/>
      <c r="K38" s="161"/>
      <c r="L38" s="161"/>
      <c r="M38" s="161"/>
      <c r="N38" s="161"/>
      <c r="O38" s="161"/>
      <c r="P38" s="161"/>
      <c r="Q38" s="132"/>
    </row>
    <row r="39" spans="1:27" ht="15.75" customHeight="1">
      <c r="A39" s="62"/>
      <c r="B39" s="62"/>
      <c r="C39" s="62"/>
      <c r="D39" s="80"/>
      <c r="E39" s="123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4"/>
    </row>
    <row r="40" spans="1:27" ht="15.75" customHeight="1">
      <c r="A40" s="62"/>
      <c r="B40" s="62"/>
      <c r="C40" s="62"/>
      <c r="D40" s="80"/>
      <c r="E40" s="123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4"/>
    </row>
    <row r="41" spans="1:27" ht="15.75" customHeight="1">
      <c r="A41" s="62"/>
      <c r="B41" s="62"/>
      <c r="C41" s="62"/>
      <c r="D41" s="80"/>
      <c r="E41" s="123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4"/>
    </row>
    <row r="42" spans="1:27" ht="15.75" customHeight="1">
      <c r="A42" s="62"/>
      <c r="B42" s="62"/>
      <c r="C42" s="62"/>
      <c r="D42" s="80"/>
      <c r="E42" s="134"/>
      <c r="F42" s="13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6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68" t="s">
        <v>16</v>
      </c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</row>
    <row r="62" spans="7:19" ht="15.75" customHeight="1">
      <c r="G62" s="160" t="s">
        <v>9</v>
      </c>
      <c r="H62" s="159">
        <v>1</v>
      </c>
      <c r="I62" s="159"/>
      <c r="J62" s="159">
        <v>2</v>
      </c>
      <c r="K62" s="159">
        <v>3</v>
      </c>
      <c r="L62" s="159"/>
      <c r="M62" s="159">
        <v>5</v>
      </c>
      <c r="N62" s="159">
        <v>6</v>
      </c>
      <c r="O62" s="159"/>
      <c r="P62" s="159">
        <v>7</v>
      </c>
      <c r="Q62" s="159">
        <v>8</v>
      </c>
      <c r="R62" s="159">
        <v>9</v>
      </c>
      <c r="S62" s="159">
        <v>10</v>
      </c>
    </row>
    <row r="63" spans="7:19" ht="15.75" customHeight="1">
      <c r="G63" s="160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60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60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60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60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60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60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67" t="s">
        <v>15</v>
      </c>
      <c r="H86" s="167"/>
      <c r="I86" s="167"/>
      <c r="J86" s="167"/>
      <c r="K86" s="43"/>
      <c r="L86" s="43"/>
      <c r="N86" s="169" t="s">
        <v>11</v>
      </c>
      <c r="O86" s="169"/>
      <c r="P86" s="169"/>
      <c r="Q86" s="169"/>
      <c r="R86" s="169"/>
      <c r="S86" s="169"/>
      <c r="U86" s="169" t="s">
        <v>28</v>
      </c>
      <c r="V86" s="169"/>
      <c r="W86" s="169"/>
      <c r="X86" s="169"/>
      <c r="Y86" s="169"/>
    </row>
    <row r="87" spans="7:25" ht="15.75" customHeight="1">
      <c r="G87" s="160" t="s">
        <v>0</v>
      </c>
      <c r="H87" s="160" t="s">
        <v>9</v>
      </c>
      <c r="I87" s="160"/>
      <c r="J87" s="160" t="s">
        <v>30</v>
      </c>
      <c r="K87" s="160" t="s">
        <v>36</v>
      </c>
      <c r="L87" s="101"/>
      <c r="N87" s="169"/>
      <c r="O87" s="169"/>
      <c r="P87" s="169"/>
      <c r="Q87" s="169"/>
      <c r="R87" s="169"/>
      <c r="S87" s="169"/>
      <c r="U87" s="169"/>
      <c r="V87" s="169"/>
      <c r="W87" s="169"/>
      <c r="X87" s="169"/>
      <c r="Y87" s="169"/>
    </row>
    <row r="88" spans="7:25" ht="15.75" customHeight="1">
      <c r="G88" s="160">
        <v>1</v>
      </c>
      <c r="H88" s="160" t="s">
        <v>1</v>
      </c>
      <c r="I88" s="160"/>
      <c r="J88" s="45">
        <v>900000</v>
      </c>
      <c r="K88" s="45">
        <f>J88/2</f>
        <v>450000</v>
      </c>
      <c r="L88" s="102"/>
      <c r="N88" s="170">
        <v>6000000</v>
      </c>
      <c r="O88" s="171"/>
      <c r="P88" s="171"/>
      <c r="Q88" s="171"/>
      <c r="R88" s="171"/>
      <c r="S88" s="172"/>
      <c r="U88" s="170">
        <v>6000000</v>
      </c>
      <c r="V88" s="171"/>
      <c r="W88" s="171"/>
      <c r="X88" s="171"/>
      <c r="Y88" s="172"/>
    </row>
    <row r="89" spans="7:25" ht="15.75" customHeight="1">
      <c r="G89" s="160">
        <v>2</v>
      </c>
      <c r="H89" s="160" t="s">
        <v>2</v>
      </c>
      <c r="I89" s="160"/>
      <c r="J89" s="45">
        <v>800000</v>
      </c>
      <c r="K89" s="45">
        <f t="shared" ref="K89:K94" si="0">J89/2</f>
        <v>400000</v>
      </c>
      <c r="L89" s="102"/>
      <c r="N89" s="173"/>
      <c r="O89" s="174"/>
      <c r="P89" s="174"/>
      <c r="Q89" s="174"/>
      <c r="R89" s="174"/>
      <c r="S89" s="175"/>
      <c r="U89" s="173"/>
      <c r="V89" s="174"/>
      <c r="W89" s="174"/>
      <c r="X89" s="174"/>
      <c r="Y89" s="175"/>
    </row>
    <row r="90" spans="7:25" ht="15.75" customHeight="1">
      <c r="G90" s="160">
        <v>3</v>
      </c>
      <c r="H90" s="160" t="s">
        <v>3</v>
      </c>
      <c r="I90" s="160"/>
      <c r="J90" s="45">
        <v>900000</v>
      </c>
      <c r="K90" s="45">
        <f t="shared" si="0"/>
        <v>450000</v>
      </c>
      <c r="L90" s="102"/>
      <c r="N90" s="173"/>
      <c r="O90" s="174"/>
      <c r="P90" s="174"/>
      <c r="Q90" s="174"/>
      <c r="R90" s="174"/>
      <c r="S90" s="175"/>
      <c r="U90" s="173"/>
      <c r="V90" s="174"/>
      <c r="W90" s="174"/>
      <c r="X90" s="174"/>
      <c r="Y90" s="175"/>
    </row>
    <row r="91" spans="7:25" ht="15.75" customHeight="1">
      <c r="G91" s="160">
        <v>4</v>
      </c>
      <c r="H91" s="160" t="s">
        <v>4</v>
      </c>
      <c r="I91" s="160"/>
      <c r="J91" s="45">
        <v>1000000</v>
      </c>
      <c r="K91" s="45">
        <f t="shared" si="0"/>
        <v>500000</v>
      </c>
      <c r="L91" s="102"/>
      <c r="N91" s="173"/>
      <c r="O91" s="174"/>
      <c r="P91" s="174"/>
      <c r="Q91" s="174"/>
      <c r="R91" s="174"/>
      <c r="S91" s="175"/>
      <c r="U91" s="173"/>
      <c r="V91" s="174"/>
      <c r="W91" s="174"/>
      <c r="X91" s="174"/>
      <c r="Y91" s="175"/>
    </row>
    <row r="92" spans="7:25" ht="15.75" customHeight="1">
      <c r="G92" s="160">
        <v>5</v>
      </c>
      <c r="H92" s="160" t="s">
        <v>5</v>
      </c>
      <c r="I92" s="160"/>
      <c r="J92" s="45">
        <v>400000</v>
      </c>
      <c r="K92" s="45">
        <f t="shared" si="0"/>
        <v>200000</v>
      </c>
      <c r="L92" s="102"/>
      <c r="N92" s="173"/>
      <c r="O92" s="174"/>
      <c r="P92" s="174"/>
      <c r="Q92" s="174"/>
      <c r="R92" s="174"/>
      <c r="S92" s="175"/>
      <c r="U92" s="173"/>
      <c r="V92" s="174"/>
      <c r="W92" s="174"/>
      <c r="X92" s="174"/>
      <c r="Y92" s="175"/>
    </row>
    <row r="93" spans="7:25" ht="15.75" customHeight="1">
      <c r="G93" s="160">
        <v>6</v>
      </c>
      <c r="H93" s="160" t="s">
        <v>6</v>
      </c>
      <c r="I93" s="160"/>
      <c r="J93" s="45">
        <v>100000</v>
      </c>
      <c r="K93" s="45">
        <f t="shared" si="0"/>
        <v>50000</v>
      </c>
      <c r="L93" s="102"/>
      <c r="N93" s="173"/>
      <c r="O93" s="174"/>
      <c r="P93" s="174"/>
      <c r="Q93" s="174"/>
      <c r="R93" s="174"/>
      <c r="S93" s="175"/>
      <c r="U93" s="173"/>
      <c r="V93" s="174"/>
      <c r="W93" s="174"/>
      <c r="X93" s="174"/>
      <c r="Y93" s="175"/>
    </row>
    <row r="94" spans="7:25" ht="15.75" customHeight="1">
      <c r="G94" s="160">
        <v>7</v>
      </c>
      <c r="H94" s="160" t="s">
        <v>7</v>
      </c>
      <c r="I94" s="160"/>
      <c r="J94" s="45">
        <v>100000</v>
      </c>
      <c r="K94" s="45">
        <f t="shared" si="0"/>
        <v>50000</v>
      </c>
      <c r="L94" s="102"/>
      <c r="N94" s="173"/>
      <c r="O94" s="174"/>
      <c r="P94" s="174"/>
      <c r="Q94" s="174"/>
      <c r="R94" s="174"/>
      <c r="S94" s="175"/>
      <c r="U94" s="173"/>
      <c r="V94" s="174"/>
      <c r="W94" s="174"/>
      <c r="X94" s="174"/>
      <c r="Y94" s="175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76"/>
      <c r="O95" s="177"/>
      <c r="P95" s="177"/>
      <c r="Q95" s="177"/>
      <c r="R95" s="177"/>
      <c r="S95" s="178"/>
      <c r="U95" s="176"/>
      <c r="V95" s="177"/>
      <c r="W95" s="177"/>
      <c r="X95" s="177"/>
      <c r="Y95" s="178"/>
    </row>
    <row r="97" spans="7:25" ht="15.75" customHeight="1">
      <c r="G97" s="179" t="s">
        <v>12</v>
      </c>
      <c r="H97" s="179"/>
      <c r="I97" s="179"/>
      <c r="J97" s="179"/>
      <c r="K97" s="179"/>
      <c r="L97" s="101"/>
      <c r="N97" s="169" t="s">
        <v>29</v>
      </c>
      <c r="O97" s="169"/>
      <c r="P97" s="169"/>
      <c r="Q97" s="169"/>
      <c r="R97" s="169"/>
      <c r="S97" s="169"/>
      <c r="U97" s="180" t="s">
        <v>27</v>
      </c>
      <c r="V97" s="181"/>
      <c r="W97" s="181"/>
      <c r="X97" s="181"/>
      <c r="Y97" s="182"/>
    </row>
    <row r="98" spans="7:25" ht="15.75" customHeight="1">
      <c r="G98" s="160" t="s">
        <v>0</v>
      </c>
      <c r="H98" s="160" t="s">
        <v>13</v>
      </c>
      <c r="I98" s="160"/>
      <c r="J98" s="160" t="s">
        <v>9</v>
      </c>
      <c r="K98" s="160" t="s">
        <v>8</v>
      </c>
      <c r="L98" s="101"/>
      <c r="N98" s="169"/>
      <c r="O98" s="169"/>
      <c r="P98" s="169"/>
      <c r="Q98" s="169"/>
      <c r="R98" s="169"/>
      <c r="S98" s="169"/>
      <c r="U98" s="183"/>
      <c r="V98" s="184"/>
      <c r="W98" s="184"/>
      <c r="X98" s="184"/>
      <c r="Y98" s="185"/>
    </row>
    <row r="99" spans="7:25" ht="15.75" customHeight="1">
      <c r="G99" s="160">
        <v>1</v>
      </c>
      <c r="H99" s="160" t="s">
        <v>14</v>
      </c>
      <c r="I99" s="160"/>
      <c r="J99" s="160" t="s">
        <v>4</v>
      </c>
      <c r="K99" s="45">
        <v>2500000</v>
      </c>
      <c r="L99" s="102"/>
      <c r="N99" s="170">
        <v>6000000</v>
      </c>
      <c r="O99" s="171"/>
      <c r="P99" s="171"/>
      <c r="Q99" s="171"/>
      <c r="R99" s="171"/>
      <c r="S99" s="172"/>
      <c r="U99" s="170">
        <v>6000000</v>
      </c>
      <c r="V99" s="171"/>
      <c r="W99" s="171"/>
      <c r="X99" s="171"/>
      <c r="Y99" s="172"/>
    </row>
    <row r="100" spans="7:25" ht="15.75" customHeight="1">
      <c r="G100" s="160">
        <v>2</v>
      </c>
      <c r="H100" s="50" t="s">
        <v>22</v>
      </c>
      <c r="I100" s="50"/>
      <c r="J100" s="160" t="s">
        <v>4</v>
      </c>
      <c r="K100" s="45">
        <v>500000</v>
      </c>
      <c r="L100" s="102"/>
      <c r="N100" s="173"/>
      <c r="O100" s="174"/>
      <c r="P100" s="174"/>
      <c r="Q100" s="174"/>
      <c r="R100" s="174"/>
      <c r="S100" s="175"/>
      <c r="U100" s="173"/>
      <c r="V100" s="174"/>
      <c r="W100" s="174"/>
      <c r="X100" s="174"/>
      <c r="Y100" s="175"/>
    </row>
    <row r="101" spans="7:25" ht="15.75" customHeight="1">
      <c r="G101" s="160"/>
      <c r="H101" s="50"/>
      <c r="I101" s="50"/>
      <c r="J101" s="160"/>
      <c r="K101" s="45"/>
      <c r="L101" s="102"/>
      <c r="N101" s="173"/>
      <c r="O101" s="174"/>
      <c r="P101" s="174"/>
      <c r="Q101" s="174"/>
      <c r="R101" s="174"/>
      <c r="S101" s="175"/>
      <c r="U101" s="173"/>
      <c r="V101" s="174"/>
      <c r="W101" s="174"/>
      <c r="X101" s="174"/>
      <c r="Y101" s="175"/>
    </row>
    <row r="102" spans="7:25" ht="15.75" customHeight="1">
      <c r="G102" s="51"/>
      <c r="H102" s="51"/>
      <c r="I102" s="51"/>
      <c r="J102" s="52"/>
      <c r="K102" s="52"/>
      <c r="L102" s="104"/>
      <c r="N102" s="173"/>
      <c r="O102" s="174"/>
      <c r="P102" s="174"/>
      <c r="Q102" s="174"/>
      <c r="R102" s="174"/>
      <c r="S102" s="175"/>
      <c r="U102" s="173"/>
      <c r="V102" s="174"/>
      <c r="W102" s="174"/>
      <c r="X102" s="174"/>
      <c r="Y102" s="175"/>
    </row>
    <row r="103" spans="7:25" ht="15.75" customHeight="1">
      <c r="G103" s="51"/>
      <c r="H103" s="51"/>
      <c r="I103" s="51"/>
      <c r="J103" s="52"/>
      <c r="K103" s="52"/>
      <c r="L103" s="104"/>
      <c r="N103" s="173"/>
      <c r="O103" s="174"/>
      <c r="P103" s="174"/>
      <c r="Q103" s="174"/>
      <c r="R103" s="174"/>
      <c r="S103" s="175"/>
      <c r="U103" s="173"/>
      <c r="V103" s="174"/>
      <c r="W103" s="174"/>
      <c r="X103" s="174"/>
      <c r="Y103" s="175"/>
    </row>
    <row r="104" spans="7:25" ht="15.75" customHeight="1">
      <c r="G104" s="51"/>
      <c r="H104" s="51"/>
      <c r="I104" s="51"/>
      <c r="J104" s="52"/>
      <c r="K104" s="52"/>
      <c r="L104" s="104"/>
      <c r="N104" s="173"/>
      <c r="O104" s="174"/>
      <c r="P104" s="174"/>
      <c r="Q104" s="174"/>
      <c r="R104" s="174"/>
      <c r="S104" s="175"/>
      <c r="U104" s="173"/>
      <c r="V104" s="174"/>
      <c r="W104" s="174"/>
      <c r="X104" s="174"/>
      <c r="Y104" s="175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73"/>
      <c r="O105" s="174"/>
      <c r="P105" s="174"/>
      <c r="Q105" s="174"/>
      <c r="R105" s="174"/>
      <c r="S105" s="175"/>
      <c r="U105" s="173"/>
      <c r="V105" s="174"/>
      <c r="W105" s="174"/>
      <c r="X105" s="174"/>
      <c r="Y105" s="175"/>
    </row>
    <row r="106" spans="7:25" ht="15.75" customHeight="1">
      <c r="N106" s="176"/>
      <c r="O106" s="177"/>
      <c r="P106" s="177"/>
      <c r="Q106" s="177"/>
      <c r="R106" s="177"/>
      <c r="S106" s="178"/>
      <c r="U106" s="176"/>
      <c r="V106" s="177"/>
      <c r="W106" s="177"/>
      <c r="X106" s="177"/>
      <c r="Y106" s="178"/>
    </row>
    <row r="108" spans="7:25" ht="15.75" customHeight="1">
      <c r="G108" s="167" t="s">
        <v>31</v>
      </c>
      <c r="H108" s="167"/>
      <c r="I108" s="167"/>
      <c r="J108" s="167"/>
    </row>
    <row r="109" spans="7:25" ht="15.75" customHeight="1">
      <c r="G109" s="160" t="s">
        <v>0</v>
      </c>
      <c r="H109" s="160" t="s">
        <v>9</v>
      </c>
      <c r="I109" s="160"/>
      <c r="J109" s="160" t="s">
        <v>8</v>
      </c>
    </row>
    <row r="110" spans="7:25" ht="15.75" customHeight="1">
      <c r="G110" s="160">
        <v>1</v>
      </c>
      <c r="H110" s="160" t="s">
        <v>1</v>
      </c>
      <c r="I110" s="160"/>
      <c r="J110" s="45">
        <f>850000-H63-J63</f>
        <v>719100</v>
      </c>
    </row>
    <row r="111" spans="7:25" ht="15.75" customHeight="1">
      <c r="G111" s="160">
        <v>2</v>
      </c>
      <c r="H111" s="160" t="s">
        <v>2</v>
      </c>
      <c r="I111" s="160"/>
      <c r="J111" s="45">
        <v>800000</v>
      </c>
    </row>
    <row r="112" spans="7:25" ht="15.75" customHeight="1">
      <c r="G112" s="160">
        <v>3</v>
      </c>
      <c r="H112" s="160" t="s">
        <v>3</v>
      </c>
      <c r="I112" s="160"/>
      <c r="J112" s="45">
        <v>850000</v>
      </c>
    </row>
    <row r="113" spans="7:12" ht="15.75" customHeight="1">
      <c r="G113" s="160">
        <v>4</v>
      </c>
      <c r="H113" s="160" t="s">
        <v>4</v>
      </c>
      <c r="I113" s="160"/>
      <c r="J113" s="45">
        <v>1000000</v>
      </c>
    </row>
    <row r="114" spans="7:12" ht="15.75" customHeight="1">
      <c r="G114" s="160">
        <v>5</v>
      </c>
      <c r="H114" s="160" t="s">
        <v>5</v>
      </c>
      <c r="I114" s="160"/>
      <c r="J114" s="45">
        <v>500000</v>
      </c>
    </row>
    <row r="115" spans="7:12" ht="15.75" customHeight="1">
      <c r="G115" s="160">
        <v>6</v>
      </c>
      <c r="H115" s="160" t="s">
        <v>6</v>
      </c>
      <c r="I115" s="160"/>
      <c r="J115" s="45">
        <v>100000</v>
      </c>
    </row>
    <row r="116" spans="7:12" ht="15.75" customHeight="1">
      <c r="G116" s="160">
        <v>7</v>
      </c>
      <c r="H116" s="160" t="s">
        <v>7</v>
      </c>
      <c r="I116" s="160"/>
      <c r="J116" s="45">
        <v>100000</v>
      </c>
    </row>
    <row r="117" spans="7:12" ht="15.75" customHeight="1">
      <c r="G117" s="160">
        <v>8</v>
      </c>
      <c r="H117" s="160" t="s">
        <v>32</v>
      </c>
      <c r="I117" s="160"/>
      <c r="J117" s="45"/>
    </row>
    <row r="118" spans="7:12" ht="15.75" customHeight="1">
      <c r="G118" s="160">
        <v>9</v>
      </c>
      <c r="H118" s="160" t="s">
        <v>33</v>
      </c>
      <c r="I118" s="160"/>
      <c r="J118" s="45"/>
    </row>
    <row r="119" spans="7:12" ht="15.75" customHeight="1">
      <c r="G119" s="160">
        <v>10</v>
      </c>
      <c r="H119" s="160" t="s">
        <v>34</v>
      </c>
      <c r="I119" s="160"/>
      <c r="J119" s="45"/>
    </row>
    <row r="120" spans="7:12" ht="15.75" customHeight="1">
      <c r="G120" s="160">
        <v>11</v>
      </c>
      <c r="H120" s="160" t="s">
        <v>35</v>
      </c>
      <c r="I120" s="160"/>
      <c r="J120" s="45"/>
    </row>
    <row r="121" spans="7:12" ht="15.75" customHeight="1">
      <c r="G121" s="160">
        <v>12</v>
      </c>
      <c r="H121" s="160" t="s">
        <v>12</v>
      </c>
      <c r="I121" s="160"/>
      <c r="J121" s="45">
        <f>K105</f>
        <v>3000000</v>
      </c>
    </row>
    <row r="122" spans="7:12" ht="15.75" customHeight="1">
      <c r="G122" s="154">
        <v>45553</v>
      </c>
      <c r="H122" s="153" t="s">
        <v>90</v>
      </c>
      <c r="I122" s="153">
        <v>30000000</v>
      </c>
      <c r="J122" s="48" t="s">
        <v>1</v>
      </c>
      <c r="K122" s="41" t="s">
        <v>92</v>
      </c>
    </row>
    <row r="123" spans="7:12" ht="15.75" customHeight="1">
      <c r="G123" s="41" t="s">
        <v>93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97:K97"/>
    <mergeCell ref="N97:S98"/>
    <mergeCell ref="U97:Y98"/>
    <mergeCell ref="N99:S106"/>
    <mergeCell ref="U99:Y106"/>
    <mergeCell ref="G108:J108"/>
    <mergeCell ref="H61:S61"/>
    <mergeCell ref="G86:J86"/>
    <mergeCell ref="N86:S87"/>
    <mergeCell ref="U86:Y87"/>
    <mergeCell ref="N88:S95"/>
    <mergeCell ref="U88:Y95"/>
    <mergeCell ref="X6:Y6"/>
    <mergeCell ref="F7:J7"/>
    <mergeCell ref="L7:M7"/>
    <mergeCell ref="O7:P7"/>
    <mergeCell ref="L9:M9"/>
    <mergeCell ref="O9:P9"/>
    <mergeCell ref="E2:P2"/>
    <mergeCell ref="B4:C5"/>
    <mergeCell ref="J6:M6"/>
    <mergeCell ref="N6:Q6"/>
    <mergeCell ref="R6:T6"/>
    <mergeCell ref="U6:W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F2E0A6B4-33E3-4724-8D4D-4065419466F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9DE3-7525-44AC-B565-967E4E844D2E}">
  <sheetPr codeName="Sheet6">
    <outlinePr summaryBelow="0" summaryRight="0"/>
  </sheetPr>
  <dimension ref="A1:AA125"/>
  <sheetViews>
    <sheetView zoomScale="55" zoomScaleNormal="55" workbookViewId="0">
      <selection activeCell="F10" sqref="F10:J10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6328125" style="41" customWidth="1"/>
    <col min="9" max="9" width="23" style="41" customWidth="1"/>
    <col min="10" max="10" width="31.4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9"/>
      <c r="S1" s="139"/>
      <c r="T1" s="139"/>
      <c r="U1" s="139"/>
      <c r="V1" s="139"/>
      <c r="W1" s="139"/>
      <c r="X1" s="139"/>
      <c r="Y1" s="139"/>
      <c r="Z1" s="139"/>
      <c r="AA1" s="80"/>
    </row>
    <row r="2" spans="1:27" ht="19.5" customHeight="1">
      <c r="A2" s="97"/>
      <c r="B2" s="97"/>
      <c r="C2" s="97" t="s">
        <v>72</v>
      </c>
      <c r="D2" s="79"/>
      <c r="E2" s="192" t="s">
        <v>91</v>
      </c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40"/>
      <c r="R2" s="139"/>
      <c r="S2" s="139"/>
      <c r="T2" s="139"/>
      <c r="U2" s="139"/>
      <c r="V2" s="139"/>
      <c r="W2" s="139"/>
      <c r="X2" s="139"/>
      <c r="Y2" s="139"/>
      <c r="Z2" s="139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40"/>
      <c r="R3" s="139"/>
      <c r="S3" s="139"/>
      <c r="T3" s="139"/>
      <c r="U3" s="139"/>
      <c r="V3" s="139"/>
      <c r="W3" s="139"/>
      <c r="X3" s="139"/>
      <c r="Y3" s="139"/>
      <c r="Z3" s="139"/>
      <c r="AA3" s="80"/>
    </row>
    <row r="4" spans="1:27" ht="16" customHeight="1">
      <c r="A4" s="62"/>
      <c r="B4" s="193" t="s">
        <v>73</v>
      </c>
      <c r="C4" s="193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40"/>
      <c r="R4" s="139"/>
      <c r="S4" s="139"/>
      <c r="T4" s="139"/>
      <c r="U4" s="139"/>
      <c r="V4" s="139"/>
      <c r="W4" s="139"/>
      <c r="X4" s="139"/>
      <c r="Y4" s="139"/>
      <c r="Z4" s="139"/>
      <c r="AA4" s="80"/>
    </row>
    <row r="5" spans="1:27" ht="15.75" customHeight="1">
      <c r="A5" s="62"/>
      <c r="B5" s="193"/>
      <c r="C5" s="193"/>
      <c r="D5" s="79"/>
      <c r="E5" s="79"/>
      <c r="F5" s="79"/>
      <c r="G5" s="79"/>
      <c r="H5" s="139"/>
      <c r="I5" s="139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4"/>
      <c r="F6" s="125"/>
      <c r="G6" s="128"/>
      <c r="H6" s="162"/>
      <c r="I6" s="162"/>
      <c r="J6" s="200"/>
      <c r="K6" s="201"/>
      <c r="L6" s="201"/>
      <c r="M6" s="201"/>
      <c r="N6" s="200"/>
      <c r="O6" s="200"/>
      <c r="P6" s="201"/>
      <c r="Q6" s="202"/>
      <c r="R6" s="186"/>
      <c r="S6" s="187"/>
      <c r="T6" s="187"/>
      <c r="U6" s="190"/>
      <c r="V6" s="187"/>
      <c r="W6" s="187"/>
      <c r="X6" s="186"/>
      <c r="Y6" s="187"/>
      <c r="Z6" s="83"/>
      <c r="AA6" s="80"/>
    </row>
    <row r="7" spans="1:27" ht="19" customHeight="1">
      <c r="A7" s="62"/>
      <c r="B7" s="62"/>
      <c r="C7" s="99" t="s">
        <v>38</v>
      </c>
      <c r="D7" s="81"/>
      <c r="E7" s="123"/>
      <c r="F7" s="197" t="s">
        <v>42</v>
      </c>
      <c r="G7" s="198"/>
      <c r="H7" s="198"/>
      <c r="I7" s="198"/>
      <c r="J7" s="199"/>
      <c r="K7" s="157"/>
      <c r="L7" s="194"/>
      <c r="M7" s="194"/>
      <c r="N7" s="86"/>
      <c r="O7" s="195"/>
      <c r="P7" s="195"/>
      <c r="Q7" s="132"/>
      <c r="R7" s="139"/>
      <c r="S7" s="139"/>
      <c r="T7" s="139"/>
      <c r="U7" s="139"/>
      <c r="V7" s="139"/>
      <c r="W7" s="139"/>
      <c r="X7" s="139"/>
      <c r="Y7" s="139"/>
      <c r="Z7" s="139"/>
      <c r="AA7" s="80"/>
    </row>
    <row r="8" spans="1:27" ht="20" customHeight="1">
      <c r="A8" s="62"/>
      <c r="B8" s="62"/>
      <c r="C8" s="99" t="s">
        <v>39</v>
      </c>
      <c r="D8" s="81"/>
      <c r="E8" s="131"/>
      <c r="F8" s="147" t="s">
        <v>85</v>
      </c>
      <c r="G8" s="127" t="s">
        <v>86</v>
      </c>
      <c r="H8" s="127" t="s">
        <v>87</v>
      </c>
      <c r="I8" s="127" t="s">
        <v>95</v>
      </c>
      <c r="J8" s="148" t="s">
        <v>96</v>
      </c>
      <c r="K8" s="157"/>
      <c r="L8" s="157"/>
      <c r="M8" s="157"/>
      <c r="N8" s="157"/>
      <c r="O8" s="157"/>
      <c r="P8" s="157"/>
      <c r="Q8" s="132"/>
      <c r="R8" s="139"/>
      <c r="S8" s="139"/>
      <c r="T8" s="139"/>
      <c r="U8" s="139"/>
      <c r="V8" s="139"/>
      <c r="W8" s="139"/>
      <c r="X8" s="139"/>
      <c r="Y8" s="139"/>
      <c r="Z8" s="139"/>
      <c r="AA8" s="80"/>
    </row>
    <row r="9" spans="1:27" ht="20" customHeight="1">
      <c r="A9" s="62"/>
      <c r="B9" s="62"/>
      <c r="C9" s="99" t="s">
        <v>40</v>
      </c>
      <c r="D9" s="81"/>
      <c r="E9" s="131"/>
      <c r="F9" s="232">
        <v>45554</v>
      </c>
      <c r="G9" s="231" t="s">
        <v>97</v>
      </c>
      <c r="H9" s="233">
        <v>2100000</v>
      </c>
      <c r="I9" s="231" t="s">
        <v>34</v>
      </c>
      <c r="J9" s="234" t="s">
        <v>5</v>
      </c>
      <c r="K9" s="157"/>
      <c r="L9" s="196"/>
      <c r="M9" s="196"/>
      <c r="N9" s="157"/>
      <c r="O9" s="196"/>
      <c r="P9" s="196"/>
      <c r="Q9" s="132"/>
      <c r="R9" s="139"/>
      <c r="S9" s="139"/>
      <c r="T9" s="139"/>
      <c r="U9" s="139"/>
      <c r="V9" s="139"/>
      <c r="W9" s="139"/>
      <c r="X9" s="139"/>
      <c r="Y9" s="139"/>
      <c r="Z9" s="139"/>
      <c r="AA9" s="80"/>
    </row>
    <row r="10" spans="1:27" ht="20" customHeight="1">
      <c r="A10" s="62"/>
      <c r="B10" s="62"/>
      <c r="C10" s="100" t="s">
        <v>41</v>
      </c>
      <c r="D10" s="80"/>
      <c r="E10" s="123"/>
      <c r="F10" s="232"/>
      <c r="G10" s="235"/>
      <c r="H10" s="233"/>
      <c r="I10" s="235"/>
      <c r="J10" s="234"/>
      <c r="K10" s="157"/>
      <c r="L10" s="149"/>
      <c r="M10" s="150"/>
      <c r="N10" s="157"/>
      <c r="O10" s="149"/>
      <c r="P10" s="150"/>
      <c r="Q10" s="132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3"/>
      <c r="F11" s="232"/>
      <c r="G11" s="231"/>
      <c r="H11" s="233"/>
      <c r="I11" s="231"/>
      <c r="J11" s="234"/>
      <c r="K11" s="157"/>
      <c r="L11" s="151"/>
      <c r="M11" s="152"/>
      <c r="N11" s="157"/>
      <c r="O11" s="151"/>
      <c r="P11" s="152"/>
      <c r="Q11" s="132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74</v>
      </c>
      <c r="D12" s="80"/>
      <c r="E12" s="123"/>
      <c r="F12" s="232"/>
      <c r="G12" s="126"/>
      <c r="H12" s="233"/>
      <c r="I12" s="126"/>
      <c r="J12" s="234"/>
      <c r="K12" s="157"/>
      <c r="L12" s="157"/>
      <c r="M12" s="157"/>
      <c r="N12" s="157"/>
      <c r="O12" s="157"/>
      <c r="P12" s="157"/>
      <c r="Q12" s="132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75</v>
      </c>
      <c r="D13" s="80"/>
      <c r="E13" s="123"/>
      <c r="F13" s="232"/>
      <c r="G13" s="231"/>
      <c r="H13" s="233"/>
      <c r="I13" s="231"/>
      <c r="J13" s="234"/>
      <c r="K13" s="157"/>
      <c r="L13" s="157"/>
      <c r="M13" s="157"/>
      <c r="N13" s="157"/>
      <c r="O13" s="157"/>
      <c r="P13" s="157"/>
      <c r="Q13" s="132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3"/>
      <c r="F14" s="232"/>
      <c r="G14" s="235"/>
      <c r="H14" s="233"/>
      <c r="I14" s="235"/>
      <c r="J14" s="234"/>
      <c r="K14" s="157"/>
      <c r="L14" s="157"/>
      <c r="M14" s="157"/>
      <c r="N14" s="157"/>
      <c r="O14" s="157"/>
      <c r="P14" s="157"/>
      <c r="Q14" s="132"/>
      <c r="R14" s="156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3"/>
      <c r="F15" s="232"/>
      <c r="G15" s="231"/>
      <c r="H15" s="233"/>
      <c r="I15" s="231"/>
      <c r="J15" s="234"/>
      <c r="K15" s="157"/>
      <c r="L15" s="157"/>
      <c r="M15" s="157"/>
      <c r="N15" s="157"/>
      <c r="O15" s="157"/>
      <c r="P15" s="157"/>
      <c r="Q15" s="132"/>
      <c r="R15" s="156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3"/>
      <c r="F16" s="232"/>
      <c r="G16" s="126"/>
      <c r="H16" s="233"/>
      <c r="I16" s="126"/>
      <c r="J16" s="234"/>
      <c r="K16" s="157"/>
      <c r="L16" s="157"/>
      <c r="M16" s="157"/>
      <c r="N16" s="157"/>
      <c r="O16" s="157"/>
      <c r="P16" s="157"/>
      <c r="Q16" s="132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3"/>
      <c r="F17" s="232"/>
      <c r="G17" s="231"/>
      <c r="H17" s="233"/>
      <c r="I17" s="231"/>
      <c r="J17" s="234"/>
      <c r="K17" s="157"/>
      <c r="L17" s="157"/>
      <c r="M17" s="157"/>
      <c r="N17" s="157"/>
      <c r="O17" s="157"/>
      <c r="P17" s="157"/>
      <c r="Q17" s="132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3"/>
      <c r="F18" s="232"/>
      <c r="G18" s="235"/>
      <c r="H18" s="233"/>
      <c r="I18" s="235"/>
      <c r="J18" s="234"/>
      <c r="K18" s="157"/>
      <c r="L18" s="157"/>
      <c r="M18" s="157"/>
      <c r="N18" s="157"/>
      <c r="O18" s="157"/>
      <c r="P18" s="157"/>
      <c r="Q18" s="132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3"/>
      <c r="F19" s="232"/>
      <c r="G19" s="231"/>
      <c r="H19" s="233"/>
      <c r="I19" s="231"/>
      <c r="J19" s="234"/>
      <c r="K19" s="157"/>
      <c r="L19" s="157"/>
      <c r="M19" s="157"/>
      <c r="N19" s="157"/>
      <c r="O19" s="157"/>
      <c r="P19" s="157"/>
      <c r="Q19" s="132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3"/>
      <c r="F20" s="232"/>
      <c r="G20" s="126"/>
      <c r="H20" s="233"/>
      <c r="I20" s="126"/>
      <c r="J20" s="234"/>
      <c r="K20" s="157"/>
      <c r="L20" s="157"/>
      <c r="M20" s="157"/>
      <c r="N20" s="157"/>
      <c r="O20" s="157"/>
      <c r="P20" s="157"/>
      <c r="Q20" s="132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3"/>
      <c r="F21" s="232"/>
      <c r="G21" s="231"/>
      <c r="H21" s="233"/>
      <c r="I21" s="231"/>
      <c r="J21" s="234"/>
      <c r="K21" s="157"/>
      <c r="L21" s="157"/>
      <c r="M21" s="157"/>
      <c r="N21" s="157"/>
      <c r="O21" s="157"/>
      <c r="P21" s="157"/>
      <c r="Q21" s="132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3"/>
      <c r="F22" s="232"/>
      <c r="G22" s="235"/>
      <c r="H22" s="233"/>
      <c r="I22" s="235"/>
      <c r="J22" s="234"/>
      <c r="K22" s="157"/>
      <c r="L22" s="157"/>
      <c r="M22" s="157"/>
      <c r="N22" s="157"/>
      <c r="O22" s="157"/>
      <c r="P22" s="157"/>
      <c r="Q22" s="132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3"/>
      <c r="F23" s="232"/>
      <c r="G23" s="231"/>
      <c r="H23" s="233"/>
      <c r="I23" s="231"/>
      <c r="J23" s="234"/>
      <c r="K23" s="157"/>
      <c r="L23" s="157"/>
      <c r="M23" s="157"/>
      <c r="N23" s="157"/>
      <c r="O23" s="157"/>
      <c r="P23" s="157"/>
      <c r="Q23" s="132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3"/>
      <c r="F24" s="232"/>
      <c r="G24" s="126"/>
      <c r="H24" s="233"/>
      <c r="I24" s="126"/>
      <c r="J24" s="234"/>
      <c r="K24" s="157"/>
      <c r="L24" s="157"/>
      <c r="M24" s="157"/>
      <c r="N24" s="157"/>
      <c r="O24" s="157"/>
      <c r="P24" s="157"/>
      <c r="Q24" s="132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3"/>
      <c r="F25" s="232"/>
      <c r="G25" s="231"/>
      <c r="H25" s="233"/>
      <c r="I25" s="231"/>
      <c r="J25" s="234"/>
      <c r="K25" s="157"/>
      <c r="L25" s="157"/>
      <c r="M25" s="157"/>
      <c r="N25" s="157"/>
      <c r="O25" s="157"/>
      <c r="P25" s="157"/>
      <c r="Q25" s="132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3"/>
      <c r="F26" s="232"/>
      <c r="G26" s="235"/>
      <c r="H26" s="233"/>
      <c r="I26" s="235"/>
      <c r="J26" s="234"/>
      <c r="K26" s="157"/>
      <c r="L26" s="157"/>
      <c r="M26" s="157"/>
      <c r="N26" s="157"/>
      <c r="O26" s="157"/>
      <c r="P26" s="157"/>
      <c r="Q26" s="132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3"/>
      <c r="F27" s="232"/>
      <c r="G27" s="231"/>
      <c r="H27" s="233"/>
      <c r="I27" s="231"/>
      <c r="J27" s="234"/>
      <c r="K27" s="157"/>
      <c r="L27" s="157"/>
      <c r="M27" s="157"/>
      <c r="N27" s="157"/>
      <c r="O27" s="157"/>
      <c r="P27" s="157"/>
      <c r="Q27" s="132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3"/>
      <c r="F28" s="232"/>
      <c r="G28" s="126"/>
      <c r="H28" s="233"/>
      <c r="I28" s="126"/>
      <c r="J28" s="234"/>
      <c r="K28" s="157"/>
      <c r="L28" s="157"/>
      <c r="M28" s="157"/>
      <c r="N28" s="157"/>
      <c r="O28" s="157"/>
      <c r="P28" s="157"/>
      <c r="Q28" s="132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3"/>
      <c r="F29" s="232"/>
      <c r="G29" s="231"/>
      <c r="H29" s="233"/>
      <c r="I29" s="231"/>
      <c r="J29" s="234"/>
      <c r="K29" s="157"/>
      <c r="L29" s="157"/>
      <c r="M29" s="157"/>
      <c r="N29" s="157"/>
      <c r="O29" s="157"/>
      <c r="P29" s="157"/>
      <c r="Q29" s="132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3"/>
      <c r="F30" s="232"/>
      <c r="G30" s="235"/>
      <c r="H30" s="233"/>
      <c r="I30" s="235"/>
      <c r="J30" s="234"/>
      <c r="K30" s="157"/>
      <c r="L30" s="157"/>
      <c r="M30" s="157"/>
      <c r="N30" s="157"/>
      <c r="O30" s="157"/>
      <c r="P30" s="157"/>
      <c r="Q30" s="132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3"/>
      <c r="F31" s="232"/>
      <c r="G31" s="231"/>
      <c r="H31" s="233"/>
      <c r="I31" s="231"/>
      <c r="J31" s="234"/>
      <c r="K31" s="157"/>
      <c r="L31" s="157"/>
      <c r="M31" s="157"/>
      <c r="N31" s="157"/>
      <c r="O31" s="157"/>
      <c r="P31" s="157"/>
      <c r="Q31" s="132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3"/>
      <c r="F32" s="232"/>
      <c r="G32" s="126"/>
      <c r="H32" s="233"/>
      <c r="I32" s="126"/>
      <c r="J32" s="234"/>
      <c r="K32" s="157"/>
      <c r="L32" s="157"/>
      <c r="M32" s="157"/>
      <c r="N32" s="157"/>
      <c r="O32" s="157"/>
      <c r="P32" s="157"/>
      <c r="Q32" s="132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3"/>
      <c r="F33" s="232"/>
      <c r="G33" s="231"/>
      <c r="H33" s="233"/>
      <c r="I33" s="231"/>
      <c r="J33" s="234"/>
      <c r="K33" s="157"/>
      <c r="L33" s="157"/>
      <c r="M33" s="157"/>
      <c r="N33" s="157"/>
      <c r="O33" s="157"/>
      <c r="P33" s="157"/>
      <c r="Q33" s="132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3"/>
      <c r="F34" s="232"/>
      <c r="G34" s="236"/>
      <c r="H34" s="237"/>
      <c r="I34" s="236"/>
      <c r="J34" s="238"/>
      <c r="K34" s="157"/>
      <c r="L34" s="157"/>
      <c r="M34" s="157"/>
      <c r="N34" s="157"/>
      <c r="O34" s="157"/>
      <c r="P34" s="157"/>
      <c r="Q34" s="132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3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32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3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32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3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32"/>
    </row>
    <row r="38" spans="1:27" ht="15.75" customHeight="1">
      <c r="A38" s="62"/>
      <c r="B38" s="62"/>
      <c r="C38" s="62"/>
      <c r="D38" s="80"/>
      <c r="E38" s="123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32"/>
    </row>
    <row r="39" spans="1:27" ht="15.75" customHeight="1">
      <c r="A39" s="62"/>
      <c r="B39" s="62"/>
      <c r="C39" s="62"/>
      <c r="D39" s="80"/>
      <c r="E39" s="123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64"/>
    </row>
    <row r="40" spans="1:27" ht="15.75" customHeight="1">
      <c r="A40" s="62"/>
      <c r="B40" s="62"/>
      <c r="C40" s="62"/>
      <c r="D40" s="80"/>
      <c r="E40" s="123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64"/>
    </row>
    <row r="41" spans="1:27" ht="15.75" customHeight="1">
      <c r="A41" s="62"/>
      <c r="B41" s="62"/>
      <c r="C41" s="62"/>
      <c r="D41" s="80"/>
      <c r="E41" s="123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64"/>
    </row>
    <row r="42" spans="1:27" ht="15.75" customHeight="1">
      <c r="A42" s="62"/>
      <c r="B42" s="62"/>
      <c r="C42" s="62"/>
      <c r="D42" s="80"/>
      <c r="E42" s="134"/>
      <c r="F42" s="13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6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68" t="s">
        <v>16</v>
      </c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</row>
    <row r="62" spans="7:19" ht="15.75" customHeight="1">
      <c r="G62" s="137" t="s">
        <v>9</v>
      </c>
      <c r="H62" s="138">
        <v>1</v>
      </c>
      <c r="I62" s="138"/>
      <c r="J62" s="138">
        <v>2</v>
      </c>
      <c r="K62" s="138">
        <v>3</v>
      </c>
      <c r="L62" s="138"/>
      <c r="M62" s="138">
        <v>5</v>
      </c>
      <c r="N62" s="138">
        <v>6</v>
      </c>
      <c r="O62" s="138"/>
      <c r="P62" s="138">
        <v>7</v>
      </c>
      <c r="Q62" s="138">
        <v>8</v>
      </c>
      <c r="R62" s="138">
        <v>9</v>
      </c>
      <c r="S62" s="138">
        <v>10</v>
      </c>
    </row>
    <row r="63" spans="7:19" ht="15.75" customHeight="1">
      <c r="G63" s="13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67" t="s">
        <v>15</v>
      </c>
      <c r="H86" s="167"/>
      <c r="I86" s="167"/>
      <c r="J86" s="167"/>
      <c r="K86" s="43"/>
      <c r="L86" s="43"/>
      <c r="N86" s="169" t="s">
        <v>11</v>
      </c>
      <c r="O86" s="169"/>
      <c r="P86" s="169"/>
      <c r="Q86" s="169"/>
      <c r="R86" s="169"/>
      <c r="S86" s="169"/>
      <c r="U86" s="169" t="s">
        <v>28</v>
      </c>
      <c r="V86" s="169"/>
      <c r="W86" s="169"/>
      <c r="X86" s="169"/>
      <c r="Y86" s="169"/>
    </row>
    <row r="87" spans="7:25" ht="15.75" customHeight="1">
      <c r="G87" s="137" t="s">
        <v>0</v>
      </c>
      <c r="H87" s="137" t="s">
        <v>9</v>
      </c>
      <c r="I87" s="137"/>
      <c r="J87" s="137" t="s">
        <v>30</v>
      </c>
      <c r="K87" s="137" t="s">
        <v>36</v>
      </c>
      <c r="L87" s="101"/>
      <c r="N87" s="169"/>
      <c r="O87" s="169"/>
      <c r="P87" s="169"/>
      <c r="Q87" s="169"/>
      <c r="R87" s="169"/>
      <c r="S87" s="169"/>
      <c r="U87" s="169"/>
      <c r="V87" s="169"/>
      <c r="W87" s="169"/>
      <c r="X87" s="169"/>
      <c r="Y87" s="169"/>
    </row>
    <row r="88" spans="7:25" ht="15.75" customHeight="1">
      <c r="G88" s="137">
        <v>1</v>
      </c>
      <c r="H88" s="137" t="s">
        <v>1</v>
      </c>
      <c r="I88" s="137"/>
      <c r="J88" s="45">
        <v>900000</v>
      </c>
      <c r="K88" s="45">
        <f>J88/2</f>
        <v>450000</v>
      </c>
      <c r="L88" s="102"/>
      <c r="N88" s="170">
        <v>6000000</v>
      </c>
      <c r="O88" s="171"/>
      <c r="P88" s="171"/>
      <c r="Q88" s="171"/>
      <c r="R88" s="171"/>
      <c r="S88" s="172"/>
      <c r="U88" s="170">
        <v>6000000</v>
      </c>
      <c r="V88" s="171"/>
      <c r="W88" s="171"/>
      <c r="X88" s="171"/>
      <c r="Y88" s="172"/>
    </row>
    <row r="89" spans="7:25" ht="15.75" customHeight="1">
      <c r="G89" s="137">
        <v>2</v>
      </c>
      <c r="H89" s="137" t="s">
        <v>2</v>
      </c>
      <c r="I89" s="137"/>
      <c r="J89" s="45">
        <v>800000</v>
      </c>
      <c r="K89" s="45">
        <f t="shared" ref="K89:K94" si="0">J89/2</f>
        <v>400000</v>
      </c>
      <c r="L89" s="102"/>
      <c r="N89" s="173"/>
      <c r="O89" s="174"/>
      <c r="P89" s="174"/>
      <c r="Q89" s="174"/>
      <c r="R89" s="174"/>
      <c r="S89" s="175"/>
      <c r="U89" s="173"/>
      <c r="V89" s="174"/>
      <c r="W89" s="174"/>
      <c r="X89" s="174"/>
      <c r="Y89" s="175"/>
    </row>
    <row r="90" spans="7:25" ht="15.75" customHeight="1">
      <c r="G90" s="137">
        <v>3</v>
      </c>
      <c r="H90" s="137" t="s">
        <v>3</v>
      </c>
      <c r="I90" s="137"/>
      <c r="J90" s="45">
        <v>900000</v>
      </c>
      <c r="K90" s="45">
        <f t="shared" si="0"/>
        <v>450000</v>
      </c>
      <c r="L90" s="102"/>
      <c r="N90" s="173"/>
      <c r="O90" s="174"/>
      <c r="P90" s="174"/>
      <c r="Q90" s="174"/>
      <c r="R90" s="174"/>
      <c r="S90" s="175"/>
      <c r="U90" s="173"/>
      <c r="V90" s="174"/>
      <c r="W90" s="174"/>
      <c r="X90" s="174"/>
      <c r="Y90" s="175"/>
    </row>
    <row r="91" spans="7:25" ht="15.75" customHeight="1">
      <c r="G91" s="137">
        <v>4</v>
      </c>
      <c r="H91" s="137" t="s">
        <v>4</v>
      </c>
      <c r="I91" s="137"/>
      <c r="J91" s="45">
        <v>1000000</v>
      </c>
      <c r="K91" s="45">
        <f t="shared" si="0"/>
        <v>500000</v>
      </c>
      <c r="L91" s="102"/>
      <c r="N91" s="173"/>
      <c r="O91" s="174"/>
      <c r="P91" s="174"/>
      <c r="Q91" s="174"/>
      <c r="R91" s="174"/>
      <c r="S91" s="175"/>
      <c r="U91" s="173"/>
      <c r="V91" s="174"/>
      <c r="W91" s="174"/>
      <c r="X91" s="174"/>
      <c r="Y91" s="175"/>
    </row>
    <row r="92" spans="7:25" ht="15.75" customHeight="1">
      <c r="G92" s="137">
        <v>5</v>
      </c>
      <c r="H92" s="137" t="s">
        <v>5</v>
      </c>
      <c r="I92" s="137"/>
      <c r="J92" s="45">
        <v>400000</v>
      </c>
      <c r="K92" s="45">
        <f t="shared" si="0"/>
        <v>200000</v>
      </c>
      <c r="L92" s="102"/>
      <c r="N92" s="173"/>
      <c r="O92" s="174"/>
      <c r="P92" s="174"/>
      <c r="Q92" s="174"/>
      <c r="R92" s="174"/>
      <c r="S92" s="175"/>
      <c r="U92" s="173"/>
      <c r="V92" s="174"/>
      <c r="W92" s="174"/>
      <c r="X92" s="174"/>
      <c r="Y92" s="175"/>
    </row>
    <row r="93" spans="7:25" ht="15.75" customHeight="1">
      <c r="G93" s="137">
        <v>6</v>
      </c>
      <c r="H93" s="137" t="s">
        <v>6</v>
      </c>
      <c r="I93" s="137"/>
      <c r="J93" s="45">
        <v>100000</v>
      </c>
      <c r="K93" s="45">
        <f t="shared" si="0"/>
        <v>50000</v>
      </c>
      <c r="L93" s="102"/>
      <c r="N93" s="173"/>
      <c r="O93" s="174"/>
      <c r="P93" s="174"/>
      <c r="Q93" s="174"/>
      <c r="R93" s="174"/>
      <c r="S93" s="175"/>
      <c r="U93" s="173"/>
      <c r="V93" s="174"/>
      <c r="W93" s="174"/>
      <c r="X93" s="174"/>
      <c r="Y93" s="175"/>
    </row>
    <row r="94" spans="7:25" ht="15.75" customHeight="1">
      <c r="G94" s="137">
        <v>7</v>
      </c>
      <c r="H94" s="137" t="s">
        <v>7</v>
      </c>
      <c r="I94" s="137"/>
      <c r="J94" s="45">
        <v>100000</v>
      </c>
      <c r="K94" s="45">
        <f t="shared" si="0"/>
        <v>50000</v>
      </c>
      <c r="L94" s="102"/>
      <c r="N94" s="173"/>
      <c r="O94" s="174"/>
      <c r="P94" s="174"/>
      <c r="Q94" s="174"/>
      <c r="R94" s="174"/>
      <c r="S94" s="175"/>
      <c r="U94" s="173"/>
      <c r="V94" s="174"/>
      <c r="W94" s="174"/>
      <c r="X94" s="174"/>
      <c r="Y94" s="175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76"/>
      <c r="O95" s="177"/>
      <c r="P95" s="177"/>
      <c r="Q95" s="177"/>
      <c r="R95" s="177"/>
      <c r="S95" s="178"/>
      <c r="U95" s="176"/>
      <c r="V95" s="177"/>
      <c r="W95" s="177"/>
      <c r="X95" s="177"/>
      <c r="Y95" s="178"/>
    </row>
    <row r="97" spans="7:25" ht="15.75" customHeight="1">
      <c r="G97" s="179" t="s">
        <v>12</v>
      </c>
      <c r="H97" s="179"/>
      <c r="I97" s="179"/>
      <c r="J97" s="179"/>
      <c r="K97" s="179"/>
      <c r="L97" s="101"/>
      <c r="N97" s="169" t="s">
        <v>29</v>
      </c>
      <c r="O97" s="169"/>
      <c r="P97" s="169"/>
      <c r="Q97" s="169"/>
      <c r="R97" s="169"/>
      <c r="S97" s="169"/>
      <c r="U97" s="180" t="s">
        <v>27</v>
      </c>
      <c r="V97" s="181"/>
      <c r="W97" s="181"/>
      <c r="X97" s="181"/>
      <c r="Y97" s="182"/>
    </row>
    <row r="98" spans="7:25" ht="15.75" customHeight="1">
      <c r="G98" s="137" t="s">
        <v>0</v>
      </c>
      <c r="H98" s="137" t="s">
        <v>13</v>
      </c>
      <c r="I98" s="137"/>
      <c r="J98" s="137" t="s">
        <v>9</v>
      </c>
      <c r="K98" s="137" t="s">
        <v>8</v>
      </c>
      <c r="L98" s="101"/>
      <c r="N98" s="169"/>
      <c r="O98" s="169"/>
      <c r="P98" s="169"/>
      <c r="Q98" s="169"/>
      <c r="R98" s="169"/>
      <c r="S98" s="169"/>
      <c r="U98" s="183"/>
      <c r="V98" s="184"/>
      <c r="W98" s="184"/>
      <c r="X98" s="184"/>
      <c r="Y98" s="185"/>
    </row>
    <row r="99" spans="7:25" ht="15.75" customHeight="1">
      <c r="G99" s="137">
        <v>1</v>
      </c>
      <c r="H99" s="137" t="s">
        <v>14</v>
      </c>
      <c r="I99" s="137"/>
      <c r="J99" s="137" t="s">
        <v>4</v>
      </c>
      <c r="K99" s="45">
        <v>2500000</v>
      </c>
      <c r="L99" s="102"/>
      <c r="N99" s="170">
        <v>6000000</v>
      </c>
      <c r="O99" s="171"/>
      <c r="P99" s="171"/>
      <c r="Q99" s="171"/>
      <c r="R99" s="171"/>
      <c r="S99" s="172"/>
      <c r="U99" s="170">
        <v>6000000</v>
      </c>
      <c r="V99" s="171"/>
      <c r="W99" s="171"/>
      <c r="X99" s="171"/>
      <c r="Y99" s="172"/>
    </row>
    <row r="100" spans="7:25" ht="15.75" customHeight="1">
      <c r="G100" s="137">
        <v>2</v>
      </c>
      <c r="H100" s="50" t="s">
        <v>22</v>
      </c>
      <c r="I100" s="50"/>
      <c r="J100" s="137" t="s">
        <v>4</v>
      </c>
      <c r="K100" s="45">
        <v>500000</v>
      </c>
      <c r="L100" s="102"/>
      <c r="N100" s="173"/>
      <c r="O100" s="174"/>
      <c r="P100" s="174"/>
      <c r="Q100" s="174"/>
      <c r="R100" s="174"/>
      <c r="S100" s="175"/>
      <c r="U100" s="173"/>
      <c r="V100" s="174"/>
      <c r="W100" s="174"/>
      <c r="X100" s="174"/>
      <c r="Y100" s="175"/>
    </row>
    <row r="101" spans="7:25" ht="15.75" customHeight="1">
      <c r="G101" s="137"/>
      <c r="H101" s="50"/>
      <c r="I101" s="50"/>
      <c r="J101" s="137"/>
      <c r="K101" s="45"/>
      <c r="L101" s="102"/>
      <c r="N101" s="173"/>
      <c r="O101" s="174"/>
      <c r="P101" s="174"/>
      <c r="Q101" s="174"/>
      <c r="R101" s="174"/>
      <c r="S101" s="175"/>
      <c r="U101" s="173"/>
      <c r="V101" s="174"/>
      <c r="W101" s="174"/>
      <c r="X101" s="174"/>
      <c r="Y101" s="175"/>
    </row>
    <row r="102" spans="7:25" ht="15.75" customHeight="1">
      <c r="G102" s="51"/>
      <c r="H102" s="51"/>
      <c r="I102" s="51"/>
      <c r="J102" s="52"/>
      <c r="K102" s="52"/>
      <c r="L102" s="104"/>
      <c r="N102" s="173"/>
      <c r="O102" s="174"/>
      <c r="P102" s="174"/>
      <c r="Q102" s="174"/>
      <c r="R102" s="174"/>
      <c r="S102" s="175"/>
      <c r="U102" s="173"/>
      <c r="V102" s="174"/>
      <c r="W102" s="174"/>
      <c r="X102" s="174"/>
      <c r="Y102" s="175"/>
    </row>
    <row r="103" spans="7:25" ht="15.75" customHeight="1">
      <c r="G103" s="51"/>
      <c r="H103" s="51"/>
      <c r="I103" s="51"/>
      <c r="J103" s="52"/>
      <c r="K103" s="52"/>
      <c r="L103" s="104"/>
      <c r="N103" s="173"/>
      <c r="O103" s="174"/>
      <c r="P103" s="174"/>
      <c r="Q103" s="174"/>
      <c r="R103" s="174"/>
      <c r="S103" s="175"/>
      <c r="U103" s="173"/>
      <c r="V103" s="174"/>
      <c r="W103" s="174"/>
      <c r="X103" s="174"/>
      <c r="Y103" s="175"/>
    </row>
    <row r="104" spans="7:25" ht="15.75" customHeight="1">
      <c r="G104" s="51"/>
      <c r="H104" s="51"/>
      <c r="I104" s="51"/>
      <c r="J104" s="52"/>
      <c r="K104" s="52"/>
      <c r="L104" s="104"/>
      <c r="N104" s="173"/>
      <c r="O104" s="174"/>
      <c r="P104" s="174"/>
      <c r="Q104" s="174"/>
      <c r="R104" s="174"/>
      <c r="S104" s="175"/>
      <c r="U104" s="173"/>
      <c r="V104" s="174"/>
      <c r="W104" s="174"/>
      <c r="X104" s="174"/>
      <c r="Y104" s="175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73"/>
      <c r="O105" s="174"/>
      <c r="P105" s="174"/>
      <c r="Q105" s="174"/>
      <c r="R105" s="174"/>
      <c r="S105" s="175"/>
      <c r="U105" s="173"/>
      <c r="V105" s="174"/>
      <c r="W105" s="174"/>
      <c r="X105" s="174"/>
      <c r="Y105" s="175"/>
    </row>
    <row r="106" spans="7:25" ht="15.75" customHeight="1">
      <c r="N106" s="176"/>
      <c r="O106" s="177"/>
      <c r="P106" s="177"/>
      <c r="Q106" s="177"/>
      <c r="R106" s="177"/>
      <c r="S106" s="178"/>
      <c r="U106" s="176"/>
      <c r="V106" s="177"/>
      <c r="W106" s="177"/>
      <c r="X106" s="177"/>
      <c r="Y106" s="178"/>
    </row>
    <row r="108" spans="7:25" ht="15.75" customHeight="1">
      <c r="G108" s="167" t="s">
        <v>31</v>
      </c>
      <c r="H108" s="167"/>
      <c r="I108" s="167"/>
      <c r="J108" s="167"/>
    </row>
    <row r="109" spans="7:25" ht="15.75" customHeight="1">
      <c r="G109" s="137" t="s">
        <v>0</v>
      </c>
      <c r="H109" s="137" t="s">
        <v>9</v>
      </c>
      <c r="I109" s="137"/>
      <c r="J109" s="137" t="s">
        <v>8</v>
      </c>
    </row>
    <row r="110" spans="7:25" ht="15.75" customHeight="1">
      <c r="G110" s="137">
        <v>1</v>
      </c>
      <c r="H110" s="137" t="s">
        <v>1</v>
      </c>
      <c r="I110" s="137"/>
      <c r="J110" s="45">
        <f>850000-H63-J63</f>
        <v>719100</v>
      </c>
    </row>
    <row r="111" spans="7:25" ht="15.75" customHeight="1">
      <c r="G111" s="137">
        <v>2</v>
      </c>
      <c r="H111" s="137" t="s">
        <v>2</v>
      </c>
      <c r="I111" s="137"/>
      <c r="J111" s="45">
        <v>800000</v>
      </c>
    </row>
    <row r="112" spans="7:25" ht="15.75" customHeight="1">
      <c r="G112" s="137">
        <v>3</v>
      </c>
      <c r="H112" s="137" t="s">
        <v>3</v>
      </c>
      <c r="I112" s="137"/>
      <c r="J112" s="45">
        <v>850000</v>
      </c>
    </row>
    <row r="113" spans="7:12" ht="15.75" customHeight="1">
      <c r="G113" s="137">
        <v>4</v>
      </c>
      <c r="H113" s="137" t="s">
        <v>4</v>
      </c>
      <c r="I113" s="137"/>
      <c r="J113" s="45">
        <v>1000000</v>
      </c>
    </row>
    <row r="114" spans="7:12" ht="15.75" customHeight="1">
      <c r="G114" s="137">
        <v>5</v>
      </c>
      <c r="H114" s="137" t="s">
        <v>5</v>
      </c>
      <c r="I114" s="137"/>
      <c r="J114" s="45">
        <v>500000</v>
      </c>
    </row>
    <row r="115" spans="7:12" ht="15.75" customHeight="1">
      <c r="G115" s="137">
        <v>6</v>
      </c>
      <c r="H115" s="137" t="s">
        <v>6</v>
      </c>
      <c r="I115" s="137"/>
      <c r="J115" s="45">
        <v>100000</v>
      </c>
    </row>
    <row r="116" spans="7:12" ht="15.75" customHeight="1">
      <c r="G116" s="137">
        <v>7</v>
      </c>
      <c r="H116" s="137" t="s">
        <v>7</v>
      </c>
      <c r="I116" s="137"/>
      <c r="J116" s="45">
        <v>100000</v>
      </c>
    </row>
    <row r="117" spans="7:12" ht="15.75" customHeight="1">
      <c r="G117" s="137">
        <v>8</v>
      </c>
      <c r="H117" s="137" t="s">
        <v>32</v>
      </c>
      <c r="I117" s="137"/>
      <c r="J117" s="45"/>
    </row>
    <row r="118" spans="7:12" ht="15.75" customHeight="1">
      <c r="G118" s="137">
        <v>9</v>
      </c>
      <c r="H118" s="137" t="s">
        <v>33</v>
      </c>
      <c r="I118" s="137"/>
      <c r="J118" s="45"/>
    </row>
    <row r="119" spans="7:12" ht="15.75" customHeight="1">
      <c r="G119" s="137">
        <v>10</v>
      </c>
      <c r="H119" s="137" t="s">
        <v>34</v>
      </c>
      <c r="I119" s="137"/>
      <c r="J119" s="45"/>
    </row>
    <row r="120" spans="7:12" ht="15.75" customHeight="1">
      <c r="G120" s="137">
        <v>11</v>
      </c>
      <c r="H120" s="137" t="s">
        <v>35</v>
      </c>
      <c r="I120" s="137"/>
      <c r="J120" s="45"/>
    </row>
    <row r="121" spans="7:12" ht="15.75" customHeight="1">
      <c r="G121" s="137">
        <v>12</v>
      </c>
      <c r="H121" s="137" t="s">
        <v>12</v>
      </c>
      <c r="I121" s="137"/>
      <c r="J121" s="45">
        <f>K105</f>
        <v>3000000</v>
      </c>
    </row>
    <row r="122" spans="7:12" ht="15.75" customHeight="1">
      <c r="G122" s="154">
        <v>45553</v>
      </c>
      <c r="H122" s="153" t="s">
        <v>90</v>
      </c>
      <c r="I122" s="153">
        <v>30000000</v>
      </c>
      <c r="J122" s="48" t="s">
        <v>1</v>
      </c>
      <c r="K122" s="41" t="s">
        <v>92</v>
      </c>
    </row>
    <row r="123" spans="7:12" ht="15.75" customHeight="1">
      <c r="G123" s="41" t="s">
        <v>93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3D7965AF-64D4-4A84-8207-C4D6C7C53E97}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A125"/>
  <sheetViews>
    <sheetView topLeftCell="A7" zoomScale="70" zoomScaleNormal="70" workbookViewId="0">
      <selection activeCell="J17" sqref="J17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7.453125" style="78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72</v>
      </c>
      <c r="D2" s="79"/>
      <c r="E2" s="192" t="s">
        <v>80</v>
      </c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193" t="s">
        <v>73</v>
      </c>
      <c r="C4" s="193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93"/>
      <c r="C5" s="193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10"/>
      <c r="K6" s="211"/>
      <c r="L6" s="211"/>
      <c r="M6" s="211"/>
      <c r="N6" s="210"/>
      <c r="O6" s="210"/>
      <c r="P6" s="211"/>
      <c r="Q6" s="211"/>
      <c r="R6" s="186"/>
      <c r="S6" s="187"/>
      <c r="T6" s="187"/>
      <c r="U6" s="190"/>
      <c r="V6" s="187"/>
      <c r="W6" s="187"/>
      <c r="X6" s="186"/>
      <c r="Y6" s="187"/>
      <c r="Z6" s="83"/>
      <c r="AA6" s="80"/>
    </row>
    <row r="7" spans="1:27" ht="19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04" t="s">
        <v>55</v>
      </c>
      <c r="J7" s="204"/>
      <c r="K7" s="71"/>
      <c r="L7" s="203" t="s">
        <v>67</v>
      </c>
      <c r="M7" s="203"/>
      <c r="N7" s="42"/>
      <c r="O7" s="204">
        <v>2024</v>
      </c>
      <c r="P7" s="204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99" t="s">
        <v>40</v>
      </c>
      <c r="D9" s="81"/>
      <c r="E9" s="86"/>
      <c r="F9" s="205" t="s">
        <v>76</v>
      </c>
      <c r="G9" s="206"/>
      <c r="H9" s="115"/>
      <c r="I9" s="207" t="s">
        <v>77</v>
      </c>
      <c r="J9" s="208"/>
      <c r="K9" s="87"/>
      <c r="L9" s="205" t="s">
        <v>78</v>
      </c>
      <c r="M9" s="209"/>
      <c r="N9" s="87"/>
      <c r="O9" s="205" t="s">
        <v>79</v>
      </c>
      <c r="P9" s="209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00" t="s">
        <v>41</v>
      </c>
      <c r="D10" s="80"/>
      <c r="E10" s="87"/>
      <c r="F10" s="90" t="s">
        <v>69</v>
      </c>
      <c r="G10" s="110" t="s">
        <v>70</v>
      </c>
      <c r="H10" s="87"/>
      <c r="I10" s="93" t="s">
        <v>69</v>
      </c>
      <c r="J10" s="94" t="s">
        <v>70</v>
      </c>
      <c r="K10" s="87"/>
      <c r="L10" s="90" t="s">
        <v>69</v>
      </c>
      <c r="M10" s="92" t="s">
        <v>70</v>
      </c>
      <c r="N10" s="87"/>
      <c r="O10" s="90" t="s">
        <v>69</v>
      </c>
      <c r="P10" s="92" t="s">
        <v>70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71</v>
      </c>
      <c r="H11" s="87"/>
      <c r="I11" s="95">
        <v>0.5</v>
      </c>
      <c r="J11" s="111" t="s">
        <v>71</v>
      </c>
      <c r="K11" s="87"/>
      <c r="L11" s="91">
        <v>0.5</v>
      </c>
      <c r="M11" s="112" t="s">
        <v>71</v>
      </c>
      <c r="N11" s="87"/>
      <c r="O11" s="91">
        <v>0.5</v>
      </c>
      <c r="P11" s="112" t="s">
        <v>71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74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75</v>
      </c>
      <c r="D13" s="80"/>
      <c r="E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87"/>
      <c r="G15" s="113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68" t="s">
        <v>16</v>
      </c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67" t="s">
        <v>15</v>
      </c>
      <c r="H86" s="167"/>
      <c r="I86" s="167"/>
      <c r="J86" s="167"/>
      <c r="K86" s="43"/>
      <c r="L86" s="43"/>
      <c r="N86" s="169" t="s">
        <v>11</v>
      </c>
      <c r="O86" s="169"/>
      <c r="P86" s="169"/>
      <c r="Q86" s="169"/>
      <c r="R86" s="169"/>
      <c r="S86" s="169"/>
      <c r="U86" s="169" t="s">
        <v>28</v>
      </c>
      <c r="V86" s="169"/>
      <c r="W86" s="169"/>
      <c r="X86" s="169"/>
      <c r="Y86" s="169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169"/>
      <c r="O87" s="169"/>
      <c r="P87" s="169"/>
      <c r="Q87" s="169"/>
      <c r="R87" s="169"/>
      <c r="S87" s="169"/>
      <c r="U87" s="169"/>
      <c r="V87" s="169"/>
      <c r="W87" s="169"/>
      <c r="X87" s="169"/>
      <c r="Y87" s="169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170">
        <v>6000000</v>
      </c>
      <c r="O88" s="171"/>
      <c r="P88" s="171"/>
      <c r="Q88" s="171"/>
      <c r="R88" s="171"/>
      <c r="S88" s="172"/>
      <c r="U88" s="170">
        <v>6000000</v>
      </c>
      <c r="V88" s="171"/>
      <c r="W88" s="171"/>
      <c r="X88" s="171"/>
      <c r="Y88" s="172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173"/>
      <c r="O89" s="174"/>
      <c r="P89" s="174"/>
      <c r="Q89" s="174"/>
      <c r="R89" s="174"/>
      <c r="S89" s="175"/>
      <c r="U89" s="173"/>
      <c r="V89" s="174"/>
      <c r="W89" s="174"/>
      <c r="X89" s="174"/>
      <c r="Y89" s="175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173"/>
      <c r="O90" s="174"/>
      <c r="P90" s="174"/>
      <c r="Q90" s="174"/>
      <c r="R90" s="174"/>
      <c r="S90" s="175"/>
      <c r="U90" s="173"/>
      <c r="V90" s="174"/>
      <c r="W90" s="174"/>
      <c r="X90" s="174"/>
      <c r="Y90" s="175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173"/>
      <c r="O91" s="174"/>
      <c r="P91" s="174"/>
      <c r="Q91" s="174"/>
      <c r="R91" s="174"/>
      <c r="S91" s="175"/>
      <c r="U91" s="173"/>
      <c r="V91" s="174"/>
      <c r="W91" s="174"/>
      <c r="X91" s="174"/>
      <c r="Y91" s="175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173"/>
      <c r="O92" s="174"/>
      <c r="P92" s="174"/>
      <c r="Q92" s="174"/>
      <c r="R92" s="174"/>
      <c r="S92" s="175"/>
      <c r="U92" s="173"/>
      <c r="V92" s="174"/>
      <c r="W92" s="174"/>
      <c r="X92" s="174"/>
      <c r="Y92" s="175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173"/>
      <c r="O93" s="174"/>
      <c r="P93" s="174"/>
      <c r="Q93" s="174"/>
      <c r="R93" s="174"/>
      <c r="S93" s="175"/>
      <c r="U93" s="173"/>
      <c r="V93" s="174"/>
      <c r="W93" s="174"/>
      <c r="X93" s="174"/>
      <c r="Y93" s="175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173"/>
      <c r="O94" s="174"/>
      <c r="P94" s="174"/>
      <c r="Q94" s="174"/>
      <c r="R94" s="174"/>
      <c r="S94" s="175"/>
      <c r="U94" s="173"/>
      <c r="V94" s="174"/>
      <c r="W94" s="174"/>
      <c r="X94" s="174"/>
      <c r="Y94" s="175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76"/>
      <c r="O95" s="177"/>
      <c r="P95" s="177"/>
      <c r="Q95" s="177"/>
      <c r="R95" s="177"/>
      <c r="S95" s="178"/>
      <c r="U95" s="176"/>
      <c r="V95" s="177"/>
      <c r="W95" s="177"/>
      <c r="X95" s="177"/>
      <c r="Y95" s="178"/>
    </row>
    <row r="97" spans="7:25" ht="15.75" customHeight="1">
      <c r="G97" s="179" t="s">
        <v>12</v>
      </c>
      <c r="H97" s="179"/>
      <c r="I97" s="179"/>
      <c r="J97" s="179"/>
      <c r="K97" s="179"/>
      <c r="L97" s="101"/>
      <c r="N97" s="169" t="s">
        <v>29</v>
      </c>
      <c r="O97" s="169"/>
      <c r="P97" s="169"/>
      <c r="Q97" s="169"/>
      <c r="R97" s="169"/>
      <c r="S97" s="169"/>
      <c r="U97" s="180" t="s">
        <v>27</v>
      </c>
      <c r="V97" s="181"/>
      <c r="W97" s="181"/>
      <c r="X97" s="181"/>
      <c r="Y97" s="182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169"/>
      <c r="O98" s="169"/>
      <c r="P98" s="169"/>
      <c r="Q98" s="169"/>
      <c r="R98" s="169"/>
      <c r="S98" s="169"/>
      <c r="U98" s="183"/>
      <c r="V98" s="184"/>
      <c r="W98" s="184"/>
      <c r="X98" s="184"/>
      <c r="Y98" s="185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170">
        <v>6000000</v>
      </c>
      <c r="O99" s="171"/>
      <c r="P99" s="171"/>
      <c r="Q99" s="171"/>
      <c r="R99" s="171"/>
      <c r="S99" s="172"/>
      <c r="U99" s="170">
        <v>6000000</v>
      </c>
      <c r="V99" s="171"/>
      <c r="W99" s="171"/>
      <c r="X99" s="171"/>
      <c r="Y99" s="172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173"/>
      <c r="O100" s="174"/>
      <c r="P100" s="174"/>
      <c r="Q100" s="174"/>
      <c r="R100" s="174"/>
      <c r="S100" s="175"/>
      <c r="U100" s="173"/>
      <c r="V100" s="174"/>
      <c r="W100" s="174"/>
      <c r="X100" s="174"/>
      <c r="Y100" s="175"/>
    </row>
    <row r="101" spans="7:25" ht="15.75" customHeight="1">
      <c r="G101" s="44"/>
      <c r="H101" s="50"/>
      <c r="I101" s="50"/>
      <c r="J101" s="44"/>
      <c r="K101" s="45"/>
      <c r="L101" s="102"/>
      <c r="N101" s="173"/>
      <c r="O101" s="174"/>
      <c r="P101" s="174"/>
      <c r="Q101" s="174"/>
      <c r="R101" s="174"/>
      <c r="S101" s="175"/>
      <c r="U101" s="173"/>
      <c r="V101" s="174"/>
      <c r="W101" s="174"/>
      <c r="X101" s="174"/>
      <c r="Y101" s="175"/>
    </row>
    <row r="102" spans="7:25" ht="15.75" customHeight="1">
      <c r="G102" s="51"/>
      <c r="H102" s="51"/>
      <c r="I102" s="51"/>
      <c r="J102" s="52"/>
      <c r="K102" s="52"/>
      <c r="L102" s="104"/>
      <c r="N102" s="173"/>
      <c r="O102" s="174"/>
      <c r="P102" s="174"/>
      <c r="Q102" s="174"/>
      <c r="R102" s="174"/>
      <c r="S102" s="175"/>
      <c r="U102" s="173"/>
      <c r="V102" s="174"/>
      <c r="W102" s="174"/>
      <c r="X102" s="174"/>
      <c r="Y102" s="175"/>
    </row>
    <row r="103" spans="7:25" ht="15.75" customHeight="1">
      <c r="G103" s="51"/>
      <c r="H103" s="51"/>
      <c r="I103" s="51"/>
      <c r="J103" s="52"/>
      <c r="K103" s="52"/>
      <c r="L103" s="104"/>
      <c r="N103" s="173"/>
      <c r="O103" s="174"/>
      <c r="P103" s="174"/>
      <c r="Q103" s="174"/>
      <c r="R103" s="174"/>
      <c r="S103" s="175"/>
      <c r="U103" s="173"/>
      <c r="V103" s="174"/>
      <c r="W103" s="174"/>
      <c r="X103" s="174"/>
      <c r="Y103" s="175"/>
    </row>
    <row r="104" spans="7:25" ht="15.75" customHeight="1">
      <c r="G104" s="51"/>
      <c r="H104" s="51"/>
      <c r="I104" s="51"/>
      <c r="J104" s="52"/>
      <c r="K104" s="52"/>
      <c r="L104" s="104"/>
      <c r="N104" s="173"/>
      <c r="O104" s="174"/>
      <c r="P104" s="174"/>
      <c r="Q104" s="174"/>
      <c r="R104" s="174"/>
      <c r="S104" s="175"/>
      <c r="U104" s="173"/>
      <c r="V104" s="174"/>
      <c r="W104" s="174"/>
      <c r="X104" s="174"/>
      <c r="Y104" s="175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73"/>
      <c r="O105" s="174"/>
      <c r="P105" s="174"/>
      <c r="Q105" s="174"/>
      <c r="R105" s="174"/>
      <c r="S105" s="175"/>
      <c r="U105" s="173"/>
      <c r="V105" s="174"/>
      <c r="W105" s="174"/>
      <c r="X105" s="174"/>
      <c r="Y105" s="175"/>
    </row>
    <row r="106" spans="7:25" ht="15.75" customHeight="1">
      <c r="N106" s="176"/>
      <c r="O106" s="177"/>
      <c r="P106" s="177"/>
      <c r="Q106" s="177"/>
      <c r="R106" s="177"/>
      <c r="S106" s="178"/>
      <c r="U106" s="176"/>
      <c r="V106" s="177"/>
      <c r="W106" s="177"/>
      <c r="X106" s="177"/>
      <c r="Y106" s="178"/>
    </row>
    <row r="108" spans="7:25" ht="15.75" customHeight="1">
      <c r="G108" s="167" t="s">
        <v>31</v>
      </c>
      <c r="H108" s="167"/>
      <c r="I108" s="167"/>
      <c r="J108" s="167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6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4CCBA5A-7F76-4177-B664-22F9E03A3BF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0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0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4:O51"/>
  <sheetViews>
    <sheetView topLeftCell="A14" zoomScale="70" zoomScaleNormal="70" workbookViewId="0">
      <selection activeCell="E27" sqref="E27"/>
    </sheetView>
  </sheetViews>
  <sheetFormatPr defaultRowHeight="12.5"/>
  <cols>
    <col min="2" max="2" width="27" customWidth="1"/>
    <col min="9" max="9" width="24.1796875" customWidth="1"/>
    <col min="10" max="10" width="37.36328125" customWidth="1"/>
    <col min="11" max="11" width="28.36328125" customWidth="1"/>
    <col min="12" max="12" width="17.1796875" customWidth="1"/>
    <col min="13" max="13" width="15" customWidth="1"/>
  </cols>
  <sheetData>
    <row r="4" spans="2:8" ht="13">
      <c r="B4" s="84" t="s">
        <v>54</v>
      </c>
      <c r="D4" s="84" t="s">
        <v>68</v>
      </c>
      <c r="F4" s="116" t="s">
        <v>81</v>
      </c>
      <c r="G4" s="116" t="s">
        <v>82</v>
      </c>
      <c r="H4" s="116" t="s">
        <v>83</v>
      </c>
    </row>
    <row r="5" spans="2:8">
      <c r="B5" s="84" t="s">
        <v>55</v>
      </c>
      <c r="D5">
        <v>2024</v>
      </c>
      <c r="F5" s="117" t="s">
        <v>55</v>
      </c>
      <c r="G5" s="117">
        <v>500</v>
      </c>
      <c r="H5" s="117">
        <v>600</v>
      </c>
    </row>
    <row r="6" spans="2:8">
      <c r="B6" s="84" t="s">
        <v>56</v>
      </c>
      <c r="D6">
        <v>2025</v>
      </c>
      <c r="F6" s="117" t="s">
        <v>56</v>
      </c>
      <c r="G6" s="117">
        <v>550</v>
      </c>
      <c r="H6" s="117">
        <v>620</v>
      </c>
    </row>
    <row r="7" spans="2:8">
      <c r="B7" s="84" t="s">
        <v>57</v>
      </c>
      <c r="C7" t="s">
        <v>38</v>
      </c>
      <c r="D7">
        <v>2026</v>
      </c>
      <c r="F7" s="117" t="s">
        <v>57</v>
      </c>
      <c r="G7" s="117">
        <v>580</v>
      </c>
      <c r="H7" s="117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64</v>
      </c>
      <c r="D14">
        <v>2033</v>
      </c>
    </row>
    <row r="15" spans="2:8">
      <c r="B15" s="84" t="s">
        <v>65</v>
      </c>
      <c r="D15">
        <v>2034</v>
      </c>
    </row>
    <row r="16" spans="2:8">
      <c r="B16" s="84" t="s">
        <v>66</v>
      </c>
      <c r="D16">
        <v>2035</v>
      </c>
    </row>
    <row r="20" spans="2:15">
      <c r="B20" s="96" t="s">
        <v>9</v>
      </c>
    </row>
    <row r="21" spans="2:15">
      <c r="B21" s="96" t="s">
        <v>1</v>
      </c>
    </row>
    <row r="22" spans="2:15">
      <c r="B22" s="96" t="s">
        <v>2</v>
      </c>
    </row>
    <row r="23" spans="2:15">
      <c r="B23" s="96" t="s">
        <v>3</v>
      </c>
    </row>
    <row r="24" spans="2:15">
      <c r="B24" s="96" t="s">
        <v>4</v>
      </c>
    </row>
    <row r="25" spans="2:15">
      <c r="B25" s="96" t="s">
        <v>5</v>
      </c>
    </row>
    <row r="26" spans="2:15">
      <c r="B26" s="96" t="s">
        <v>6</v>
      </c>
    </row>
    <row r="27" spans="2:15">
      <c r="B27" s="96" t="s">
        <v>7</v>
      </c>
    </row>
    <row r="28" spans="2:15">
      <c r="B28" s="155" t="s">
        <v>32</v>
      </c>
    </row>
    <row r="29" spans="2:15">
      <c r="B29" s="155" t="s">
        <v>33</v>
      </c>
    </row>
    <row r="30" spans="2:15">
      <c r="B30" s="155" t="s">
        <v>34</v>
      </c>
    </row>
    <row r="31" spans="2:15">
      <c r="B31" s="155" t="s">
        <v>35</v>
      </c>
      <c r="I31" s="167" t="s">
        <v>15</v>
      </c>
      <c r="J31" s="167"/>
      <c r="K31" s="167"/>
      <c r="L31" s="167"/>
      <c r="M31" s="43"/>
      <c r="N31" s="43"/>
      <c r="O31" s="41"/>
    </row>
    <row r="32" spans="2:15">
      <c r="B32" s="155" t="s">
        <v>12</v>
      </c>
      <c r="I32" s="145" t="s">
        <v>0</v>
      </c>
      <c r="J32" s="145" t="s">
        <v>9</v>
      </c>
      <c r="K32" s="145"/>
      <c r="L32" s="145" t="s">
        <v>30</v>
      </c>
      <c r="M32" s="145" t="s">
        <v>36</v>
      </c>
      <c r="N32" s="101"/>
      <c r="O32" s="41"/>
    </row>
    <row r="33" spans="9:15">
      <c r="I33" s="145">
        <v>1</v>
      </c>
      <c r="J33" s="145" t="s">
        <v>1</v>
      </c>
      <c r="K33" s="145"/>
      <c r="L33" s="45">
        <v>900000</v>
      </c>
      <c r="M33" s="45">
        <f>L33/2</f>
        <v>450000</v>
      </c>
      <c r="N33" s="102"/>
      <c r="O33" s="41"/>
    </row>
    <row r="34" spans="9:15">
      <c r="I34" s="145">
        <v>2</v>
      </c>
      <c r="J34" s="145" t="s">
        <v>2</v>
      </c>
      <c r="K34" s="145"/>
      <c r="L34" s="45">
        <v>800000</v>
      </c>
      <c r="M34" s="45">
        <f t="shared" ref="M34:M39" si="0">L34/2</f>
        <v>400000</v>
      </c>
      <c r="N34" s="102"/>
      <c r="O34" s="41"/>
    </row>
    <row r="35" spans="9:15">
      <c r="I35" s="145">
        <v>3</v>
      </c>
      <c r="J35" s="145" t="s">
        <v>3</v>
      </c>
      <c r="K35" s="145"/>
      <c r="L35" s="45">
        <v>900000</v>
      </c>
      <c r="M35" s="45">
        <f t="shared" si="0"/>
        <v>450000</v>
      </c>
      <c r="N35" s="102"/>
      <c r="O35" s="41"/>
    </row>
    <row r="36" spans="9:15">
      <c r="I36" s="145">
        <v>4</v>
      </c>
      <c r="J36" s="145" t="s">
        <v>4</v>
      </c>
      <c r="K36" s="145"/>
      <c r="L36" s="45">
        <v>1000000</v>
      </c>
      <c r="M36" s="45">
        <f t="shared" si="0"/>
        <v>500000</v>
      </c>
      <c r="N36" s="102"/>
      <c r="O36" s="41"/>
    </row>
    <row r="37" spans="9:15">
      <c r="I37" s="145">
        <v>5</v>
      </c>
      <c r="J37" s="145" t="s">
        <v>5</v>
      </c>
      <c r="K37" s="145"/>
      <c r="L37" s="45">
        <v>400000</v>
      </c>
      <c r="M37" s="45">
        <f t="shared" si="0"/>
        <v>200000</v>
      </c>
      <c r="N37" s="102"/>
      <c r="O37" s="41"/>
    </row>
    <row r="38" spans="9:15">
      <c r="I38" s="145">
        <v>6</v>
      </c>
      <c r="J38" s="145" t="s">
        <v>6</v>
      </c>
      <c r="K38" s="145"/>
      <c r="L38" s="45">
        <v>100000</v>
      </c>
      <c r="M38" s="45">
        <f t="shared" si="0"/>
        <v>50000</v>
      </c>
      <c r="N38" s="102"/>
      <c r="O38" s="41"/>
    </row>
    <row r="39" spans="9:15">
      <c r="I39" s="145">
        <v>7</v>
      </c>
      <c r="J39" s="145" t="s">
        <v>7</v>
      </c>
      <c r="K39" s="145"/>
      <c r="L39" s="45">
        <v>100000</v>
      </c>
      <c r="M39" s="45">
        <f t="shared" si="0"/>
        <v>50000</v>
      </c>
      <c r="N39" s="102"/>
      <c r="O39" s="41"/>
    </row>
    <row r="40" spans="9:15"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9:15">
      <c r="I41" s="41"/>
      <c r="J41" s="41"/>
      <c r="K41" s="41"/>
      <c r="L41" s="41"/>
      <c r="M41" s="41"/>
      <c r="N41" s="41"/>
      <c r="O41" s="41"/>
    </row>
    <row r="42" spans="9:15">
      <c r="I42" s="179" t="s">
        <v>12</v>
      </c>
      <c r="J42" s="179"/>
      <c r="K42" s="179"/>
      <c r="L42" s="179"/>
      <c r="M42" s="179"/>
      <c r="N42" s="101"/>
      <c r="O42" s="41"/>
    </row>
    <row r="43" spans="9:15">
      <c r="I43" s="145" t="s">
        <v>0</v>
      </c>
      <c r="J43" s="145" t="s">
        <v>13</v>
      </c>
      <c r="K43" s="145"/>
      <c r="L43" s="145" t="s">
        <v>9</v>
      </c>
      <c r="M43" s="145" t="s">
        <v>8</v>
      </c>
      <c r="N43" s="101"/>
      <c r="O43" s="41"/>
    </row>
    <row r="44" spans="9:15">
      <c r="I44" s="145">
        <v>1</v>
      </c>
      <c r="J44" s="145" t="s">
        <v>14</v>
      </c>
      <c r="K44" s="145"/>
      <c r="L44" s="145" t="s">
        <v>4</v>
      </c>
      <c r="M44" s="45">
        <v>2500000</v>
      </c>
      <c r="N44" s="102"/>
      <c r="O44" s="41"/>
    </row>
    <row r="45" spans="9:15">
      <c r="I45" s="145">
        <v>2</v>
      </c>
      <c r="J45" s="50" t="s">
        <v>22</v>
      </c>
      <c r="K45" s="50"/>
      <c r="L45" s="145" t="s">
        <v>4</v>
      </c>
      <c r="M45" s="45">
        <v>500000</v>
      </c>
      <c r="N45" s="102"/>
      <c r="O45" s="41"/>
    </row>
    <row r="46" spans="9:15">
      <c r="I46" s="145"/>
      <c r="J46" s="50"/>
      <c r="K46" s="50"/>
      <c r="L46" s="145"/>
      <c r="M46" s="45"/>
      <c r="N46" s="102"/>
      <c r="O46" s="41"/>
    </row>
    <row r="47" spans="9:15">
      <c r="I47" s="51"/>
      <c r="J47" s="51"/>
      <c r="K47" s="51"/>
      <c r="L47" s="52"/>
      <c r="M47" s="52"/>
      <c r="N47" s="104"/>
      <c r="O47" s="41"/>
    </row>
    <row r="48" spans="9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2">
    <mergeCell ref="I31:L31"/>
    <mergeCell ref="I42:M4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U34"/>
  <sheetViews>
    <sheetView zoomScale="40" zoomScaleNormal="40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17" t="s">
        <v>26</v>
      </c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9"/>
    </row>
    <row r="4" spans="2:21" ht="12.75" customHeight="1" thickBot="1">
      <c r="B4" s="212" t="s">
        <v>43</v>
      </c>
      <c r="C4" s="213"/>
      <c r="G4" s="57">
        <v>23</v>
      </c>
      <c r="H4" s="60">
        <v>123</v>
      </c>
      <c r="I4" s="61">
        <v>123</v>
      </c>
      <c r="J4" s="220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2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20">
        <v>123</v>
      </c>
      <c r="K5" s="221"/>
      <c r="L5" s="221"/>
      <c r="M5" s="221"/>
      <c r="N5" s="221"/>
      <c r="O5" s="221"/>
      <c r="P5" s="221"/>
      <c r="Q5" s="221"/>
      <c r="R5" s="221"/>
      <c r="S5" s="221"/>
      <c r="T5" s="221"/>
      <c r="U5" s="222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20">
        <v>123</v>
      </c>
      <c r="K6" s="221"/>
      <c r="L6" s="221"/>
      <c r="M6" s="221"/>
      <c r="N6" s="221"/>
      <c r="O6" s="221"/>
      <c r="P6" s="221"/>
      <c r="Q6" s="221"/>
      <c r="R6" s="221"/>
      <c r="S6" s="221"/>
      <c r="T6" s="221"/>
      <c r="U6" s="222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20">
        <v>123</v>
      </c>
      <c r="K7" s="221"/>
      <c r="L7" s="221"/>
      <c r="M7" s="221"/>
      <c r="N7" s="221"/>
      <c r="O7" s="221"/>
      <c r="P7" s="221"/>
      <c r="Q7" s="221"/>
      <c r="R7" s="221"/>
      <c r="S7" s="221"/>
      <c r="T7" s="221"/>
      <c r="U7" s="222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20" t="s">
        <v>47</v>
      </c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2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20">
        <v>4</v>
      </c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2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20" t="s">
        <v>50</v>
      </c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2"/>
    </row>
    <row r="11" spans="2:21" ht="12.75" customHeight="1">
      <c r="B11" s="67"/>
      <c r="C11" s="68"/>
      <c r="G11" s="57"/>
      <c r="H11" s="60"/>
      <c r="I11" s="61"/>
      <c r="J11" s="220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2"/>
    </row>
    <row r="12" spans="2:21" ht="12.75" customHeight="1">
      <c r="B12" s="67"/>
      <c r="C12" s="68"/>
      <c r="G12" s="57"/>
      <c r="H12" s="60"/>
      <c r="I12" s="61"/>
      <c r="J12" s="220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2"/>
    </row>
    <row r="13" spans="2:21" ht="12.75" customHeight="1" thickBot="1">
      <c r="B13" s="69"/>
      <c r="C13" s="70"/>
      <c r="G13" s="57"/>
      <c r="H13" s="58"/>
      <c r="I13" s="61"/>
      <c r="J13" s="220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2"/>
    </row>
    <row r="14" spans="2:21" ht="13">
      <c r="G14" s="60"/>
      <c r="H14" s="58"/>
      <c r="I14" s="61"/>
      <c r="J14" s="214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6"/>
    </row>
    <row r="15" spans="2:21" ht="13">
      <c r="G15" s="58"/>
      <c r="H15" s="58"/>
      <c r="I15" s="61"/>
      <c r="J15" s="214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6"/>
    </row>
    <row r="16" spans="2:21" ht="13">
      <c r="G16" s="58"/>
      <c r="H16" s="58"/>
      <c r="I16" s="61"/>
      <c r="J16" s="214"/>
      <c r="K16" s="215"/>
      <c r="L16" s="215"/>
      <c r="M16" s="215"/>
      <c r="N16" s="215"/>
      <c r="O16" s="215"/>
      <c r="P16" s="215"/>
      <c r="Q16" s="215"/>
      <c r="R16" s="215"/>
      <c r="S16" s="215"/>
      <c r="T16" s="215"/>
      <c r="U16" s="216"/>
    </row>
    <row r="17" spans="7:21" ht="13">
      <c r="G17" s="58"/>
      <c r="H17" s="58"/>
      <c r="I17" s="61"/>
      <c r="J17" s="214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6"/>
    </row>
    <row r="18" spans="7:21" ht="13">
      <c r="G18" s="58"/>
      <c r="H18" s="58"/>
      <c r="I18" s="61"/>
      <c r="J18" s="214"/>
      <c r="K18" s="215"/>
      <c r="L18" s="215"/>
      <c r="M18" s="215"/>
      <c r="N18" s="215"/>
      <c r="O18" s="215"/>
      <c r="P18" s="215"/>
      <c r="Q18" s="215"/>
      <c r="R18" s="215"/>
      <c r="S18" s="215"/>
      <c r="T18" s="215"/>
      <c r="U18" s="216"/>
    </row>
    <row r="19" spans="7:21" ht="13">
      <c r="G19" s="58"/>
      <c r="H19" s="58"/>
      <c r="I19" s="61"/>
      <c r="J19" s="214"/>
      <c r="K19" s="215"/>
      <c r="L19" s="215"/>
      <c r="M19" s="215"/>
      <c r="N19" s="215"/>
      <c r="O19" s="215"/>
      <c r="P19" s="215"/>
      <c r="Q19" s="215"/>
      <c r="R19" s="215"/>
      <c r="S19" s="215"/>
      <c r="T19" s="215"/>
      <c r="U19" s="216"/>
    </row>
    <row r="20" spans="7:21" ht="13">
      <c r="G20" s="58"/>
      <c r="H20" s="58"/>
      <c r="I20" s="61"/>
      <c r="J20" s="214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6"/>
    </row>
    <row r="21" spans="7:21" ht="13">
      <c r="G21" s="58"/>
      <c r="H21" s="58"/>
      <c r="I21" s="61"/>
      <c r="J21" s="214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6"/>
    </row>
    <row r="22" spans="7:21" ht="13">
      <c r="G22" s="58"/>
      <c r="H22" s="58"/>
      <c r="I22" s="61"/>
      <c r="J22" s="214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6"/>
    </row>
    <row r="23" spans="7:21" ht="13">
      <c r="G23" s="58"/>
      <c r="H23" s="58"/>
      <c r="I23" s="61"/>
      <c r="J23" s="214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6"/>
    </row>
    <row r="24" spans="7:21" ht="13">
      <c r="G24" s="58"/>
      <c r="H24" s="58"/>
      <c r="I24" s="61"/>
      <c r="J24" s="214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6"/>
    </row>
    <row r="25" spans="7:21" ht="13">
      <c r="G25" s="58"/>
      <c r="H25" s="58"/>
      <c r="I25" s="61"/>
      <c r="J25" s="214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6"/>
    </row>
    <row r="26" spans="7:21" ht="13">
      <c r="G26" s="58"/>
      <c r="H26" s="58"/>
      <c r="I26" s="61"/>
      <c r="J26" s="214"/>
      <c r="K26" s="215"/>
      <c r="L26" s="215"/>
      <c r="M26" s="215"/>
      <c r="N26" s="215"/>
      <c r="O26" s="215"/>
      <c r="P26" s="215"/>
      <c r="Q26" s="215"/>
      <c r="R26" s="215"/>
      <c r="S26" s="215"/>
      <c r="T26" s="215"/>
      <c r="U26" s="216"/>
    </row>
    <row r="27" spans="7:21" ht="13">
      <c r="G27" s="58"/>
      <c r="H27" s="58"/>
      <c r="I27" s="61"/>
      <c r="J27" s="214"/>
      <c r="K27" s="215"/>
      <c r="L27" s="215"/>
      <c r="M27" s="215"/>
      <c r="N27" s="215"/>
      <c r="O27" s="215"/>
      <c r="P27" s="215"/>
      <c r="Q27" s="215"/>
      <c r="R27" s="215"/>
      <c r="S27" s="215"/>
      <c r="T27" s="215"/>
      <c r="U27" s="216"/>
    </row>
    <row r="28" spans="7:21" ht="13">
      <c r="G28" s="58"/>
      <c r="H28" s="58"/>
      <c r="I28" s="61"/>
      <c r="J28" s="214"/>
      <c r="K28" s="215"/>
      <c r="L28" s="215"/>
      <c r="M28" s="215"/>
      <c r="N28" s="215"/>
      <c r="O28" s="215"/>
      <c r="P28" s="215"/>
      <c r="Q28" s="215"/>
      <c r="R28" s="215"/>
      <c r="S28" s="215"/>
      <c r="T28" s="215"/>
      <c r="U28" s="216"/>
    </row>
    <row r="29" spans="7:21" ht="13">
      <c r="G29" s="58"/>
      <c r="H29" s="58"/>
      <c r="I29" s="61"/>
      <c r="J29" s="214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216"/>
    </row>
    <row r="30" spans="7:21" ht="13">
      <c r="G30" s="58"/>
      <c r="H30" s="58"/>
      <c r="I30" s="61"/>
      <c r="J30" s="214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6"/>
    </row>
    <row r="31" spans="7:21" ht="13">
      <c r="G31" s="58"/>
      <c r="H31" s="58"/>
      <c r="I31" s="61"/>
      <c r="J31" s="214"/>
      <c r="K31" s="215"/>
      <c r="L31" s="215"/>
      <c r="M31" s="215"/>
      <c r="N31" s="215"/>
      <c r="O31" s="215"/>
      <c r="P31" s="215"/>
      <c r="Q31" s="215"/>
      <c r="R31" s="215"/>
      <c r="S31" s="215"/>
      <c r="T31" s="215"/>
      <c r="U31" s="216"/>
    </row>
    <row r="32" spans="7:21" ht="13">
      <c r="G32" s="58"/>
      <c r="H32" s="58"/>
      <c r="I32" s="61"/>
      <c r="J32" s="214"/>
      <c r="K32" s="215"/>
      <c r="L32" s="215"/>
      <c r="M32" s="215"/>
      <c r="N32" s="215"/>
      <c r="O32" s="215"/>
      <c r="P32" s="215"/>
      <c r="Q32" s="215"/>
      <c r="R32" s="215"/>
      <c r="S32" s="215"/>
      <c r="T32" s="215"/>
      <c r="U32" s="216"/>
    </row>
    <row r="33" spans="7:21" ht="13">
      <c r="G33" s="58"/>
      <c r="H33" s="58"/>
      <c r="I33" s="61"/>
      <c r="J33" s="214"/>
      <c r="K33" s="215"/>
      <c r="L33" s="215"/>
      <c r="M33" s="215"/>
      <c r="N33" s="215"/>
      <c r="O33" s="215"/>
      <c r="P33" s="215"/>
      <c r="Q33" s="215"/>
      <c r="R33" s="215"/>
      <c r="S33" s="215"/>
      <c r="T33" s="215"/>
      <c r="U33" s="216"/>
    </row>
    <row r="34" spans="7:21" ht="13">
      <c r="G34" s="58"/>
      <c r="H34" s="58"/>
      <c r="I34" s="61"/>
      <c r="J34" s="214"/>
      <c r="K34" s="215"/>
      <c r="L34" s="215"/>
      <c r="M34" s="215"/>
      <c r="N34" s="215"/>
      <c r="O34" s="215"/>
      <c r="P34" s="215"/>
      <c r="Q34" s="215"/>
      <c r="R34" s="215"/>
      <c r="S34" s="215"/>
      <c r="T34" s="215"/>
      <c r="U34" s="216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 xr:uid="{00000000-0002-0000-03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23" t="s">
        <v>17</v>
      </c>
      <c r="E3" s="224"/>
      <c r="F3" s="224"/>
      <c r="G3" s="224"/>
      <c r="H3" s="224"/>
      <c r="I3" s="224"/>
      <c r="J3" s="225"/>
      <c r="K3" s="226" t="s">
        <v>18</v>
      </c>
      <c r="L3" s="224"/>
      <c r="M3" s="224"/>
      <c r="N3" s="224"/>
      <c r="O3" s="224"/>
      <c r="P3" s="224"/>
      <c r="Q3" s="225"/>
      <c r="R3" s="227" t="s">
        <v>19</v>
      </c>
      <c r="S3" s="224"/>
      <c r="T3" s="224"/>
      <c r="U3" s="224"/>
      <c r="V3" s="224"/>
      <c r="W3" s="224"/>
      <c r="X3" s="225"/>
      <c r="Y3" s="228" t="s">
        <v>20</v>
      </c>
      <c r="Z3" s="224"/>
      <c r="AA3" s="224"/>
      <c r="AB3" s="224"/>
      <c r="AC3" s="224"/>
      <c r="AD3" s="224"/>
      <c r="AE3" s="225"/>
      <c r="AF3" s="229"/>
      <c r="AG3" s="224"/>
      <c r="AH3" s="230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580E-4F2B-46B6-B6D3-D8671948D7A3}">
  <sheetPr codeName="Sheet7"/>
  <dimension ref="A1"/>
  <sheetViews>
    <sheetView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2024-09-20T02:45:21Z</dcterms:modified>
</cp:coreProperties>
</file>