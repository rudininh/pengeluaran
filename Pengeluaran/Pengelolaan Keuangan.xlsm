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8800" windowHeight="12210" tabRatio="585"/>
  </bookViews>
  <sheets>
    <sheet name="DASHBOARD BULANAN" sheetId="1" r:id="rId1"/>
    <sheet name="DATA" sheetId="5" r:id="rId2"/>
    <sheet name="Sheet2" sheetId="3" r:id="rId3"/>
    <sheet name="INPUT" sheetId="4" r:id="rId4"/>
  </sheets>
  <calcPr calcId="162913"/>
</workbook>
</file>

<file path=xl/calcChain.xml><?xml version="1.0" encoding="utf-8"?>
<calcChain xmlns="http://schemas.openxmlformats.org/spreadsheetml/2006/main">
  <c r="K89" i="1" l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<sst xmlns="http://schemas.openxmlformats.org/spreadsheetml/2006/main" count="118" uniqueCount="77">
  <si>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</si>
  <si>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</si>
  <si>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</si>
  <si>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</si>
  <si>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</si>
  <si>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</si>
  <si>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</si>
  <si>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</si>
  <si>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</si>
  <si>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</si>
  <si>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</si>
  <si>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</si>
  <si>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</si>
  <si>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</si>
  <si>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</si>
  <si>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</si>
  <si>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</si>
  <si>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</si>
  <si>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</si>
  <si>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</si>
  <si>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</si>
  <si>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</si>
  <si>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</si>
  <si>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</si>
  <si>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</si>
  <si>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</si>
  <si>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</si>
  <si>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</si>
  <si>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</si>
  <si>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</si>
  <si>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</si>
  <si>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</si>
  <si>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</si>
  <si>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</si>
  <si>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</si>
  <si>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</si>
  <si>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</si>
  <si>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</si>
  <si>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</si>
  <si>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</si>
  <si>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</si>
  <si>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</si>
  <si>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</si>
  <si>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</si>
  <si>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</si>
  <si>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</si>
  <si>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</si>
  <si>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</si>
  <si>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ab</t>
  </si>
  <si>
    <t>b</t>
  </si>
  <si>
    <t>c</t>
  </si>
  <si>
    <t>d</t>
  </si>
  <si>
    <t xml:space="preserve">PERSONAL FINANCE </t>
  </si>
  <si>
    <t>DASHBOARD</t>
  </si>
  <si>
    <t xml:space="preserve"> </t>
  </si>
  <si>
    <t>DASHBOARD KEUANGAN BULAN JANUARI TAHUN 2024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</si>
  <si>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</si>
  <si>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</si>
  <si>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</si>
  <si>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</si>
  <si>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</si>
  <si>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</si>
  <si>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</si>
  <si>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</si>
  <si>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</si>
  <si>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</si>
  <si>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</si>
  <si>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</si>
  <si>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</si>
  <si>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</si>
  <si>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</si>
  <si>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</si>
  <si>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PENGHASILAN TAHUNAN</t>
  </si>
  <si>
    <t>Rp</t>
  </si>
  <si>
    <t>250,000,000</t>
  </si>
  <si>
    <t>lebih rendah dari target</t>
  </si>
  <si>
    <t>PENGELUARAN TAHUNAN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</si>
</sst>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"/>
  </numFmts>
  <fonts count="24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sz val="36"/>
      <color rgb="FFFFFFFF"/>
      <name val="Montserrat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6AA84F"/>
        <bgColor rgb="FF6AA84F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51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8" borderId="0" xfId="0" applyFont="1" applyFill="1" applyBorder="1"/>
    <xf numFmtId="0" fontId="3" fillId="8" borderId="0" xfId="0" applyFont="1" applyFill="1" applyBorder="1" applyAlignment="1"/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3" fontId="11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9" borderId="40" xfId="0" applyNumberFormat="1" applyFont="1" applyFill="1" applyBorder="1" applyAlignment="1">
      <alignment horizontal="center" vertical="center"/>
    </xf>
    <xf numFmtId="0" fontId="1" fillId="9" borderId="40" xfId="0" applyFont="1" applyFill="1" applyBorder="1" applyAlignment="1">
      <alignment horizontal="center" vertical="center"/>
    </xf>
    <xf numFmtId="0" fontId="12" fillId="10" borderId="40" xfId="0" applyFont="1" applyFill="1" applyBorder="1" applyAlignment="1">
      <alignment horizontal="center"/>
    </xf>
    <xf numFmtId="22" fontId="1" fillId="9" borderId="40" xfId="0" applyNumberFormat="1" applyFont="1" applyFill="1" applyBorder="1" applyAlignment="1">
      <alignment horizontal="center" vertical="center"/>
    </xf>
    <xf numFmtId="3" fontId="1" fillId="9" borderId="40" xfId="0" applyNumberFormat="1" applyFont="1" applyFill="1" applyBorder="1" applyAlignment="1">
      <alignment horizontal="center" vertical="center"/>
    </xf>
    <xf numFmtId="0" fontId="15" fillId="11" borderId="0" xfId="0" applyFont="1" applyFill="1" applyAlignment="1"/>
    <xf numFmtId="0" fontId="16" fillId="0" borderId="46" xfId="0" applyFont="1" applyBorder="1" applyAlignment="1"/>
    <xf numFmtId="0" fontId="16" fillId="0" borderId="47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0" fillId="12" borderId="50" xfId="0" applyFont="1" applyFill="1" applyBorder="1" applyAlignment="1"/>
    <xf numFmtId="0" fontId="0" fillId="12" borderId="51" xfId="0" applyFont="1" applyFill="1" applyBorder="1" applyAlignment="1"/>
    <xf numFmtId="0" fontId="0" fillId="12" borderId="52" xfId="0" applyFont="1" applyFill="1" applyBorder="1" applyAlignment="1"/>
    <xf numFmtId="0" fontId="0" fillId="12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6" fillId="12" borderId="51" xfId="0" applyFont="1" applyFill="1" applyBorder="1" applyAlignment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8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9" fillId="0" borderId="1" xfId="0" applyFont="1" applyBorder="1" applyAlignment="1">
      <alignment horizontal="center" vertical="center"/>
    </xf>
    <xf numFmtId="37" fontId="10" fillId="0" borderId="2" xfId="0" applyNumberFormat="1" applyFont="1" applyBorder="1" applyAlignment="1">
      <alignment horizontal="center" vertical="center" wrapText="1"/>
    </xf>
    <xf numFmtId="37" fontId="10" fillId="0" borderId="3" xfId="0" applyNumberFormat="1" applyFont="1" applyBorder="1" applyAlignment="1">
      <alignment horizontal="center" vertical="center" wrapText="1"/>
    </xf>
    <xf numFmtId="37" fontId="10" fillId="0" borderId="4" xfId="0" applyNumberFormat="1" applyFont="1" applyBorder="1" applyAlignment="1">
      <alignment horizontal="center" vertical="center" wrapText="1"/>
    </xf>
    <xf numFmtId="37" fontId="10" fillId="0" borderId="5" xfId="0" applyNumberFormat="1" applyFont="1" applyBorder="1" applyAlignment="1">
      <alignment horizontal="center" vertical="center" wrapText="1"/>
    </xf>
    <xf numFmtId="37" fontId="10" fillId="0" borderId="0" xfId="0" applyNumberFormat="1" applyFont="1" applyBorder="1" applyAlignment="1">
      <alignment horizontal="center" vertical="center" wrapText="1"/>
    </xf>
    <xf numFmtId="37" fontId="10" fillId="0" borderId="6" xfId="0" applyNumberFormat="1" applyFont="1" applyBorder="1" applyAlignment="1">
      <alignment horizontal="center" vertical="center" wrapText="1"/>
    </xf>
    <xf numFmtId="37" fontId="10" fillId="0" borderId="7" xfId="0" applyNumberFormat="1" applyFont="1" applyBorder="1" applyAlignment="1">
      <alignment horizontal="center" vertical="center" wrapText="1"/>
    </xf>
    <xf numFmtId="37" fontId="10" fillId="0" borderId="8" xfId="0" applyNumberFormat="1" applyFont="1" applyBorder="1" applyAlignment="1">
      <alignment horizontal="center" vertical="center" wrapText="1"/>
    </xf>
    <xf numFmtId="37" fontId="10" fillId="0" borderId="9" xfId="0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  <xf numFmtId="0" fontId="12" fillId="10" borderId="44" xfId="0" applyFont="1" applyFill="1" applyBorder="1" applyAlignment="1">
      <alignment horizontal="center"/>
    </xf>
    <xf numFmtId="0" fontId="12" fillId="10" borderId="45" xfId="0" applyFont="1" applyFill="1" applyBorder="1" applyAlignment="1">
      <alignment horizontal="center"/>
    </xf>
    <xf numFmtId="0" fontId="13" fillId="9" borderId="41" xfId="0" applyFont="1" applyFill="1" applyBorder="1" applyAlignment="1">
      <alignment horizontal="center"/>
    </xf>
    <xf numFmtId="0" fontId="13" fillId="9" borderId="42" xfId="0" applyFont="1" applyFill="1" applyBorder="1" applyAlignment="1">
      <alignment horizontal="center"/>
    </xf>
    <xf numFmtId="0" fontId="13" fillId="9" borderId="43" xfId="0" applyFont="1" applyFill="1" applyBorder="1" applyAlignment="1">
      <alignment horizontal="center"/>
    </xf>
    <xf numFmtId="0" fontId="12" fillId="10" borderId="41" xfId="0" applyFont="1" applyFill="1" applyBorder="1" applyAlignment="1">
      <alignment horizontal="center"/>
    </xf>
    <xf numFmtId="0" fontId="12" fillId="10" borderId="42" xfId="0" applyFont="1" applyFill="1" applyBorder="1" applyAlignment="1">
      <alignment horizontal="center"/>
    </xf>
    <xf numFmtId="0" fontId="12" fillId="10" borderId="43" xfId="0" applyFont="1" applyFill="1" applyBorder="1" applyAlignment="1">
      <alignment horizontal="center"/>
    </xf>
    <xf numFmtId="0" fontId="1" fillId="9" borderId="41" xfId="0" applyFont="1" applyFill="1" applyBorder="1" applyAlignment="1">
      <alignment horizontal="center" wrapText="1"/>
    </xf>
    <xf numFmtId="0" fontId="1" fillId="9" borderId="42" xfId="0" applyFont="1" applyFill="1" applyBorder="1" applyAlignment="1">
      <alignment horizontal="center" wrapText="1"/>
    </xf>
    <xf numFmtId="0" fontId="1" fillId="9" borderId="43" xfId="0" applyFont="1" applyFill="1" applyBorder="1" applyAlignment="1">
      <alignment horizontal="center" wrapText="1"/>
    </xf>
    <xf numFmtId="0" fontId="3" fillId="0" borderId="0" xfId="0" applyFont="1" applyFill="1" applyAlignment="1"/>
    <xf numFmtId="0" fontId="3" fillId="12" borderId="0" xfId="0" applyFont="1" applyFill="1" applyBorder="1"/>
    <xf numFmtId="0" fontId="3" fillId="12" borderId="0" xfId="0" applyFont="1" applyFill="1" applyAlignment="1"/>
    <xf numFmtId="0" fontId="3" fillId="12" borderId="0" xfId="0" applyFont="1" applyFill="1" applyBorder="1" applyAlignment="1">
      <alignment horizontal="center"/>
    </xf>
    <xf numFmtId="0" fontId="14" fillId="13" borderId="0" xfId="1" applyFill="1" applyBorder="1" applyAlignment="1"/>
    <xf numFmtId="0" fontId="14" fillId="12" borderId="0" xfId="1" applyFill="1" applyBorder="1" applyAlignment="1"/>
    <xf numFmtId="0" fontId="8" fillId="13" borderId="0" xfId="0" applyFont="1" applyFill="1" applyBorder="1" applyAlignment="1">
      <alignment horizontal="center"/>
    </xf>
    <xf numFmtId="0" fontId="3" fillId="12" borderId="0" xfId="0" applyFont="1" applyFill="1" applyBorder="1" applyAlignment="1"/>
    <xf numFmtId="0" fontId="8" fillId="14" borderId="0" xfId="0" applyFont="1" applyFill="1" applyBorder="1" applyAlignment="1">
      <alignment horizontal="center"/>
    </xf>
    <xf numFmtId="0" fontId="3" fillId="13" borderId="0" xfId="0" applyFont="1" applyFill="1" applyBorder="1"/>
    <xf numFmtId="0" fontId="17" fillId="16" borderId="0" xfId="0" applyFont="1" applyFill="1" applyBorder="1" applyAlignment="1">
      <alignment horizontal="center"/>
    </xf>
    <xf numFmtId="0" fontId="16" fillId="0" borderId="0" xfId="0" applyFont="1" applyAlignment="1"/>
    <xf numFmtId="0" fontId="3" fillId="17" borderId="0" xfId="0" applyFont="1" applyFill="1" applyBorder="1" applyAlignment="1">
      <alignment vertical="center"/>
    </xf>
    <xf numFmtId="0" fontId="3" fillId="12" borderId="0" xfId="0" applyFont="1" applyFill="1" applyBorder="1" applyAlignment="1"/>
    <xf numFmtId="0" fontId="3" fillId="18" borderId="0" xfId="0" applyFont="1" applyFill="1" applyBorder="1" applyAlignment="1">
      <alignment horizontal="center"/>
    </xf>
    <xf numFmtId="0" fontId="3" fillId="18" borderId="0" xfId="0" applyFont="1" applyFill="1" applyAlignment="1"/>
    <xf numFmtId="0" fontId="3" fillId="18" borderId="0" xfId="0" applyFont="1" applyFill="1" applyBorder="1" applyAlignment="1"/>
    <xf numFmtId="0" fontId="3" fillId="0" borderId="54" xfId="0" applyFont="1" applyBorder="1" applyAlignment="1"/>
    <xf numFmtId="0" fontId="3" fillId="0" borderId="56" xfId="0" applyFont="1" applyBorder="1" applyAlignment="1"/>
    <xf numFmtId="0" fontId="17" fillId="16" borderId="0" xfId="0" applyFont="1" applyFill="1" applyBorder="1" applyAlignment="1">
      <alignment horizontal="center"/>
    </xf>
    <xf numFmtId="0" fontId="21" fillId="15" borderId="55" xfId="0" applyFont="1" applyFill="1" applyBorder="1" applyAlignment="1"/>
    <xf numFmtId="0" fontId="19" fillId="15" borderId="58" xfId="0" applyFont="1" applyFill="1" applyBorder="1" applyAlignment="1">
      <alignment horizontal="right"/>
    </xf>
    <xf numFmtId="9" fontId="20" fillId="15" borderId="55" xfId="0" applyNumberFormat="1" applyFont="1" applyFill="1" applyBorder="1" applyAlignment="1"/>
    <xf numFmtId="0" fontId="22" fillId="15" borderId="58" xfId="0" applyFont="1" applyFill="1" applyBorder="1" applyAlignment="1">
      <alignment horizontal="right"/>
    </xf>
    <xf numFmtId="0" fontId="23" fillId="16" borderId="55" xfId="0" applyFont="1" applyFill="1" applyBorder="1" applyAlignment="1">
      <alignment horizontal="center" vertical="center"/>
    </xf>
    <xf numFmtId="0" fontId="23" fillId="16" borderId="57" xfId="0" applyFont="1" applyFill="1" applyBorder="1" applyAlignment="1">
      <alignment horizontal="center" vertical="center"/>
    </xf>
    <xf numFmtId="0" fontId="23" fillId="20" borderId="55" xfId="0" applyFont="1" applyFill="1" applyBorder="1" applyAlignment="1">
      <alignment horizontal="center" vertical="center"/>
    </xf>
    <xf numFmtId="0" fontId="23" fillId="20" borderId="57" xfId="0" applyFont="1" applyFill="1" applyBorder="1" applyAlignment="1">
      <alignment horizontal="center" vertical="center"/>
    </xf>
    <xf numFmtId="0" fontId="21" fillId="19" borderId="55" xfId="0" applyFont="1" applyFill="1" applyBorder="1" applyAlignment="1"/>
    <xf numFmtId="0" fontId="22" fillId="19" borderId="58" xfId="0" applyFont="1" applyFill="1" applyBorder="1" applyAlignment="1">
      <alignment horizontal="right"/>
    </xf>
    <xf numFmtId="9" fontId="20" fillId="19" borderId="55" xfId="0" applyNumberFormat="1" applyFont="1" applyFill="1" applyBorder="1" applyAlignment="1"/>
    <xf numFmtId="0" fontId="19" fillId="19" borderId="58" xfId="0" applyFont="1" applyFill="1" applyBorder="1" applyAlignment="1">
      <alignment horizontal="right"/>
    </xf>
    <xf numFmtId="0" fontId="3" fillId="17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2</xdr:col>
          <xdr:colOff>1200150</xdr:colOff>
          <xdr:row>12</xdr:row>
          <xdr:rowOff>123825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X125"/>
  <sheetViews>
    <sheetView tabSelected="1" zoomScaleNormal="100" workbookViewId="0">
      <selection activeCell="A11" sqref="A11"/>
    </sheetView>
  </sheetViews>
  <sheetFormatPr defaultColWidth="12.5703125" defaultRowHeight="15.75" customHeight="1"/>
  <cols>
    <col min="1" max="1" width="19.5703125" style="43" customWidth="1"/>
    <col min="2" max="2" width="5" style="43" customWidth="1"/>
    <col min="3" max="3" width="27.85546875" style="43" customWidth="1"/>
    <col min="4" max="4" width="19.140625" style="118" customWidth="1"/>
    <col min="5" max="5" width="4.140625" style="118" customWidth="1"/>
    <col min="6" max="6" width="7.42578125" style="118" customWidth="1"/>
    <col min="7" max="7" width="24.5703125" style="43" customWidth="1"/>
    <col min="8" max="8" width="3.42578125" style="43" customWidth="1"/>
    <col min="9" max="9" width="5.5703125" style="43" customWidth="1"/>
    <col min="10" max="10" width="24.85546875" style="43" customWidth="1"/>
    <col min="11" max="11" width="3.85546875" style="43" customWidth="1"/>
    <col min="12" max="12" width="21.7109375" style="43" customWidth="1"/>
    <col min="13" max="13" width="2.85546875" style="43" customWidth="1"/>
    <col min="14" max="14" width="24.140625" style="43" customWidth="1"/>
    <col min="15" max="15" width="18.42578125" style="43" customWidth="1"/>
    <col min="16" max="19" width="12.5703125" style="43"/>
    <col min="20" max="20" width="12.5703125" style="43" customWidth="1"/>
    <col min="21" max="21" width="23.7109375" style="43" customWidth="1"/>
    <col min="22" max="16384" width="12.5703125" style="43"/>
  </cols>
  <sheetData>
    <row r="1" spans="1:24" ht="15.75" customHeight="1">
      <c r="A1" s="65"/>
      <c r="B1" s="65"/>
      <c r="C1" s="65"/>
      <c r="D1" s="119"/>
      <c r="E1" s="119"/>
      <c r="F1" s="119"/>
      <c r="G1" s="41"/>
      <c r="H1" s="80" t="s">
        <v>55</v>
      </c>
      <c r="I1" s="80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</row>
    <row r="2" spans="1:24" ht="15.75" customHeight="1">
      <c r="A2" s="65"/>
      <c r="B2" s="65"/>
      <c r="C2" s="65"/>
      <c r="D2" s="119"/>
      <c r="E2" s="119"/>
      <c r="F2" s="119"/>
      <c r="G2" s="4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</row>
    <row r="3" spans="1:24" ht="15.75" customHeight="1">
      <c r="A3" s="65"/>
      <c r="B3" s="65"/>
      <c r="C3" s="65"/>
      <c r="D3" s="119"/>
      <c r="E3" s="119"/>
      <c r="F3" s="119"/>
      <c r="G3" s="4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</row>
    <row r="4" spans="1:24" ht="15.75" customHeight="1">
      <c r="A4" s="65"/>
      <c r="B4" s="65"/>
      <c r="C4" s="65"/>
      <c r="D4" s="119"/>
      <c r="E4" s="119"/>
      <c r="F4" s="119"/>
      <c r="G4" s="4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</row>
    <row r="5" spans="1:24" ht="15.75" customHeight="1">
      <c r="A5" s="65"/>
      <c r="B5" s="65"/>
      <c r="C5" s="65" t="s">
        <v>52</v>
      </c>
      <c r="D5" s="119"/>
      <c r="E5" s="119"/>
      <c r="F5" s="119"/>
      <c r="G5" s="41"/>
      <c r="H5" s="42"/>
      <c r="I5" s="42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</row>
    <row r="6" spans="1:24" ht="15.75" customHeight="1">
      <c r="A6" s="65"/>
      <c r="B6" s="65"/>
      <c r="C6" s="65" t="s">
        <v>53</v>
      </c>
      <c r="D6" s="120"/>
      <c r="E6" s="120"/>
      <c r="F6" s="120"/>
      <c r="G6" s="122"/>
      <c r="H6" s="123"/>
      <c r="I6" s="123"/>
      <c r="J6" s="124"/>
      <c r="K6" s="125"/>
      <c r="L6" s="125"/>
      <c r="M6" s="124"/>
      <c r="N6" s="125"/>
      <c r="O6" s="125"/>
      <c r="P6" s="124"/>
      <c r="Q6" s="125"/>
      <c r="R6" s="125"/>
      <c r="S6" s="126"/>
      <c r="T6" s="125"/>
      <c r="U6" s="125"/>
      <c r="V6" s="124"/>
      <c r="W6" s="125"/>
      <c r="X6" s="127"/>
    </row>
    <row r="7" spans="1:24" ht="15.75" customHeight="1">
      <c r="A7" s="65"/>
      <c r="B7" s="65"/>
      <c r="C7" s="65"/>
      <c r="D7" s="121"/>
      <c r="E7" s="137" t="s">
        <v>56</v>
      </c>
      <c r="F7" s="137"/>
      <c r="G7" s="137"/>
      <c r="H7" s="44"/>
      <c r="I7" s="150" t="s">
        <v>58</v>
      </c>
      <c r="J7" s="150"/>
      <c r="K7" s="74"/>
      <c r="L7" s="128" t="s">
        <v>70</v>
      </c>
      <c r="M7" s="44"/>
      <c r="N7" s="130">
        <v>2024</v>
      </c>
      <c r="O7" s="134"/>
      <c r="P7" s="134"/>
      <c r="Q7" s="134"/>
      <c r="R7" s="134"/>
      <c r="S7" s="134"/>
      <c r="T7" s="134"/>
      <c r="U7" s="134"/>
      <c r="V7" s="134"/>
      <c r="W7" s="134"/>
      <c r="X7" s="134"/>
    </row>
    <row r="8" spans="1:24" ht="15.75" customHeight="1">
      <c r="A8" s="65"/>
      <c r="B8" s="65"/>
      <c r="C8" s="65" t="s">
        <v>37</v>
      </c>
      <c r="D8" s="121"/>
      <c r="E8" s="121"/>
      <c r="F8" s="121"/>
      <c r="G8" s="120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</row>
    <row r="9" spans="1:24" ht="15.75" customHeight="1">
      <c r="A9" s="65"/>
      <c r="B9" s="65"/>
      <c r="C9" s="65" t="s">
        <v>38</v>
      </c>
      <c r="D9" s="121"/>
      <c r="E9" s="132"/>
      <c r="F9" s="132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  <c r="X9" s="45"/>
    </row>
    <row r="10" spans="1:24" ht="15.75" customHeight="1">
      <c r="A10" s="65"/>
      <c r="B10" s="65"/>
      <c r="C10" s="65" t="s">
        <v>39</v>
      </c>
      <c r="D10" s="120"/>
      <c r="E10" s="133"/>
      <c r="F10" s="142" t="s">
        <v>72</v>
      </c>
      <c r="G10" s="143"/>
      <c r="H10" s="136"/>
      <c r="I10" s="144" t="s">
        <v>76</v>
      </c>
      <c r="J10" s="145"/>
    </row>
    <row r="11" spans="1:24" ht="24.75" customHeight="1">
      <c r="A11" s="65"/>
      <c r="B11" s="65"/>
      <c r="C11" s="65" t="s">
        <v>40</v>
      </c>
      <c r="D11" s="120"/>
      <c r="E11" s="133"/>
      <c r="F11" s="138" t="s">
        <v>73</v>
      </c>
      <c r="G11" s="141" t="s">
        <v>74</v>
      </c>
      <c r="I11" s="146" t="s">
        <v>73</v>
      </c>
      <c r="J11" s="147" t="s">
        <v>74</v>
      </c>
    </row>
    <row r="12" spans="1:24" ht="15.75" customHeight="1">
      <c r="A12" s="65"/>
      <c r="B12" s="65"/>
      <c r="C12" s="65" t="s">
        <v>41</v>
      </c>
      <c r="D12" s="120"/>
      <c r="E12" s="133"/>
      <c r="F12" s="140">
        <v>0.5</v>
      </c>
      <c r="G12" s="139" t="s">
        <v>75</v>
      </c>
      <c r="I12" s="148">
        <v>0.5</v>
      </c>
      <c r="J12" s="149" t="s">
        <v>75</v>
      </c>
    </row>
    <row r="13" spans="1:24" ht="15.75" customHeight="1">
      <c r="A13" s="65"/>
      <c r="B13" s="65"/>
      <c r="C13" s="65" t="s">
        <v>42</v>
      </c>
      <c r="D13" s="120"/>
      <c r="E13" s="133"/>
      <c r="F13" s="133"/>
    </row>
    <row r="14" spans="1:24" ht="15.75" customHeight="1">
      <c r="A14" s="65"/>
      <c r="B14" s="65"/>
      <c r="C14" s="65"/>
      <c r="D14" s="120"/>
      <c r="E14" s="133"/>
      <c r="F14" s="133"/>
    </row>
    <row r="15" spans="1:24" ht="15.75" customHeight="1">
      <c r="A15" s="65"/>
      <c r="B15" s="65"/>
      <c r="C15" s="65"/>
      <c r="D15" s="120"/>
      <c r="E15" s="133"/>
      <c r="F15" s="133"/>
      <c r="G15" s="135"/>
    </row>
    <row r="16" spans="1:24" ht="15.75" customHeight="1">
      <c r="A16" s="65"/>
      <c r="B16" s="65"/>
      <c r="C16" s="65"/>
      <c r="D16" s="120" t="s">
        <v>54</v>
      </c>
      <c r="E16" s="133"/>
      <c r="F16" s="133"/>
    </row>
    <row r="17" spans="1:6" ht="15.75" customHeight="1">
      <c r="A17" s="65"/>
      <c r="B17" s="65"/>
      <c r="C17" s="65"/>
      <c r="D17" s="120"/>
      <c r="E17" s="133"/>
      <c r="F17" s="133"/>
    </row>
    <row r="18" spans="1:6" ht="15.75" customHeight="1">
      <c r="A18" s="65"/>
      <c r="B18" s="65"/>
      <c r="C18" s="65"/>
      <c r="D18" s="120"/>
      <c r="E18" s="133"/>
      <c r="F18" s="133"/>
    </row>
    <row r="19" spans="1:6" ht="15.75" customHeight="1">
      <c r="A19" s="65"/>
      <c r="B19" s="65"/>
      <c r="C19" s="65"/>
      <c r="D19" s="120"/>
      <c r="E19" s="133"/>
      <c r="F19" s="133"/>
    </row>
    <row r="20" spans="1:6" ht="15.75" customHeight="1">
      <c r="A20" s="65"/>
      <c r="B20" s="65"/>
      <c r="C20" s="65"/>
      <c r="D20" s="120"/>
      <c r="E20" s="133"/>
      <c r="F20" s="133"/>
    </row>
    <row r="21" spans="1:6" ht="15.75" customHeight="1">
      <c r="A21" s="65"/>
      <c r="B21" s="65"/>
      <c r="C21" s="65"/>
      <c r="D21" s="120"/>
      <c r="E21" s="133"/>
      <c r="F21" s="133"/>
    </row>
    <row r="22" spans="1:6" ht="15.75" customHeight="1">
      <c r="A22" s="65"/>
      <c r="B22" s="65"/>
      <c r="C22" s="65"/>
      <c r="D22" s="120"/>
      <c r="E22" s="133"/>
      <c r="F22" s="133"/>
    </row>
    <row r="23" spans="1:6" ht="15.75" customHeight="1">
      <c r="A23" s="65"/>
      <c r="B23" s="65"/>
      <c r="C23" s="65"/>
      <c r="D23" s="120"/>
      <c r="E23" s="133"/>
      <c r="F23" s="133"/>
    </row>
    <row r="24" spans="1:6" ht="15.75" customHeight="1">
      <c r="A24" s="65"/>
      <c r="B24" s="65"/>
      <c r="C24" s="65"/>
      <c r="D24" s="120"/>
      <c r="E24" s="133"/>
      <c r="F24" s="133"/>
    </row>
    <row r="25" spans="1:6" ht="15.75" customHeight="1">
      <c r="A25" s="65"/>
      <c r="B25" s="65"/>
      <c r="C25" s="65"/>
      <c r="D25" s="120"/>
      <c r="E25" s="133"/>
      <c r="F25" s="133"/>
    </row>
    <row r="26" spans="1:6" ht="15.75" customHeight="1">
      <c r="A26" s="65"/>
      <c r="B26" s="65"/>
      <c r="C26" s="65"/>
      <c r="D26" s="120"/>
      <c r="E26" s="133"/>
      <c r="F26" s="133"/>
    </row>
    <row r="27" spans="1:6" ht="15.75" customHeight="1">
      <c r="A27" s="65"/>
      <c r="B27" s="65"/>
      <c r="C27" s="65"/>
      <c r="D27" s="120"/>
      <c r="E27" s="133"/>
      <c r="F27" s="133"/>
    </row>
    <row r="28" spans="1:6" ht="15.75" customHeight="1">
      <c r="A28" s="65"/>
      <c r="B28" s="65"/>
      <c r="C28" s="65"/>
      <c r="D28" s="120"/>
      <c r="E28" s="133"/>
      <c r="F28" s="133"/>
    </row>
    <row r="29" spans="1:6" ht="15.75" customHeight="1">
      <c r="A29" s="65"/>
      <c r="B29" s="65"/>
      <c r="C29" s="65"/>
      <c r="D29" s="120"/>
      <c r="E29" s="133"/>
      <c r="F29" s="133"/>
    </row>
    <row r="30" spans="1:6" ht="15.75" customHeight="1">
      <c r="A30" s="65"/>
      <c r="B30" s="65"/>
      <c r="C30" s="65"/>
      <c r="D30" s="120"/>
      <c r="E30" s="133"/>
      <c r="F30" s="133"/>
    </row>
    <row r="31" spans="1:6" ht="15.75" customHeight="1">
      <c r="A31" s="65"/>
      <c r="B31" s="65"/>
      <c r="C31" s="65"/>
      <c r="D31" s="120"/>
      <c r="E31" s="133"/>
      <c r="F31" s="133"/>
    </row>
    <row r="32" spans="1:6" ht="15.75" customHeight="1">
      <c r="A32" s="65"/>
      <c r="B32" s="65"/>
      <c r="C32" s="65"/>
      <c r="D32" s="120"/>
      <c r="E32" s="133"/>
      <c r="F32" s="133"/>
    </row>
    <row r="33" spans="1:6" ht="15.75" customHeight="1">
      <c r="A33" s="65"/>
      <c r="B33" s="65"/>
      <c r="C33" s="65"/>
      <c r="D33" s="120"/>
      <c r="E33" s="133"/>
      <c r="F33" s="133"/>
    </row>
    <row r="34" spans="1:6" ht="15.75" customHeight="1">
      <c r="A34" s="65"/>
      <c r="B34" s="65"/>
      <c r="C34" s="65"/>
      <c r="D34" s="120"/>
      <c r="E34" s="133"/>
      <c r="F34" s="133"/>
    </row>
    <row r="35" spans="1:6" ht="15.75" customHeight="1">
      <c r="A35" s="65"/>
      <c r="B35" s="65"/>
      <c r="C35" s="65"/>
      <c r="D35" s="120"/>
      <c r="E35" s="133"/>
      <c r="F35" s="133"/>
    </row>
    <row r="36" spans="1:6" ht="15.75" customHeight="1">
      <c r="A36" s="65"/>
      <c r="B36" s="65"/>
      <c r="C36" s="65"/>
      <c r="D36" s="120"/>
      <c r="E36" s="133"/>
      <c r="F36" s="133"/>
    </row>
    <row r="37" spans="1:6" ht="15.75" customHeight="1">
      <c r="A37" s="65"/>
      <c r="B37" s="65"/>
      <c r="C37" s="65"/>
      <c r="D37" s="120"/>
      <c r="E37" s="133"/>
      <c r="F37" s="133"/>
    </row>
    <row r="38" spans="1:6" ht="15.75" customHeight="1">
      <c r="A38" s="65"/>
      <c r="B38" s="65"/>
      <c r="C38" s="65"/>
      <c r="D38" s="120"/>
      <c r="E38" s="133"/>
      <c r="F38" s="133"/>
    </row>
    <row r="39" spans="1:6" ht="15.75" customHeight="1">
      <c r="A39" s="65"/>
      <c r="B39" s="65"/>
      <c r="C39" s="65"/>
      <c r="D39" s="120"/>
      <c r="E39" s="133"/>
      <c r="F39" s="133"/>
    </row>
    <row r="40" spans="1:6" ht="15.75" customHeight="1">
      <c r="A40" s="65"/>
      <c r="B40" s="65"/>
      <c r="C40" s="65"/>
      <c r="D40" s="120"/>
      <c r="E40" s="133"/>
      <c r="F40" s="133"/>
    </row>
    <row r="41" spans="1:6" ht="15.75" customHeight="1">
      <c r="A41" s="65"/>
      <c r="B41" s="65"/>
      <c r="C41" s="65"/>
      <c r="D41" s="120"/>
      <c r="E41" s="133"/>
      <c r="F41" s="133"/>
    </row>
    <row r="42" spans="1:6" ht="15.75" customHeight="1">
      <c r="A42" s="65"/>
      <c r="B42" s="65"/>
      <c r="C42" s="65"/>
      <c r="D42" s="120"/>
      <c r="E42" s="133"/>
      <c r="F42" s="133"/>
    </row>
    <row r="43" spans="1:6" ht="15.75" customHeight="1">
      <c r="A43" s="65"/>
      <c r="B43" s="65"/>
      <c r="C43" s="65"/>
      <c r="D43" s="120"/>
      <c r="E43" s="133"/>
      <c r="F43" s="133"/>
    </row>
    <row r="44" spans="1:6" ht="15.75" customHeight="1">
      <c r="A44" s="65"/>
      <c r="B44" s="65"/>
      <c r="C44" s="65"/>
      <c r="D44" s="120"/>
      <c r="E44" s="133"/>
      <c r="F44" s="133"/>
    </row>
    <row r="45" spans="1:6" ht="15.75" customHeight="1">
      <c r="D45" s="120"/>
      <c r="E45" s="133"/>
      <c r="F45" s="133"/>
    </row>
    <row r="46" spans="1:6" ht="15.75" customHeight="1">
      <c r="D46" s="120"/>
      <c r="E46" s="133"/>
      <c r="F46" s="133"/>
    </row>
    <row r="61" spans="7:17" ht="15.75" customHeight="1">
      <c r="H61" s="79" t="s">
        <v>16</v>
      </c>
      <c r="I61" s="79"/>
      <c r="J61" s="79"/>
      <c r="K61" s="79"/>
      <c r="L61" s="79"/>
      <c r="M61" s="79"/>
      <c r="N61" s="79"/>
      <c r="O61" s="79"/>
      <c r="P61" s="79"/>
      <c r="Q61" s="79"/>
    </row>
    <row r="62" spans="7:17" ht="15.75" customHeight="1">
      <c r="G62" s="47" t="s">
        <v>9</v>
      </c>
      <c r="H62" s="59">
        <v>1</v>
      </c>
      <c r="I62" s="76"/>
      <c r="J62" s="59">
        <v>2</v>
      </c>
      <c r="K62" s="59">
        <v>3</v>
      </c>
      <c r="L62" s="59">
        <v>5</v>
      </c>
      <c r="M62" s="59">
        <v>6</v>
      </c>
      <c r="N62" s="59">
        <v>7</v>
      </c>
      <c r="O62" s="59">
        <v>8</v>
      </c>
      <c r="P62" s="59">
        <v>9</v>
      </c>
      <c r="Q62" s="59">
        <v>10</v>
      </c>
    </row>
    <row r="63" spans="7:17" ht="15.75" customHeight="1">
      <c r="G63" s="47" t="s">
        <v>1</v>
      </c>
      <c r="H63" s="58">
        <v>80900</v>
      </c>
      <c r="I63" s="58"/>
      <c r="J63" s="58">
        <v>50000</v>
      </c>
      <c r="K63" s="58"/>
      <c r="L63" s="58"/>
      <c r="M63" s="58"/>
      <c r="N63" s="58"/>
      <c r="O63" s="58"/>
      <c r="P63" s="58"/>
      <c r="Q63" s="58"/>
    </row>
    <row r="64" spans="7:17" ht="15.75" customHeight="1">
      <c r="G64" s="47" t="s">
        <v>2</v>
      </c>
      <c r="H64" s="58"/>
      <c r="I64" s="58"/>
      <c r="J64" s="58"/>
      <c r="K64" s="58"/>
      <c r="L64" s="58"/>
      <c r="M64" s="58"/>
      <c r="N64" s="58"/>
      <c r="O64" s="58"/>
      <c r="P64" s="58"/>
      <c r="Q64" s="58"/>
    </row>
    <row r="65" spans="7:17" ht="15.75" customHeight="1">
      <c r="G65" s="47" t="s">
        <v>3</v>
      </c>
      <c r="H65" s="58"/>
      <c r="I65" s="58"/>
      <c r="J65" s="58"/>
      <c r="K65" s="58"/>
      <c r="L65" s="58"/>
      <c r="M65" s="58"/>
      <c r="N65" s="58"/>
      <c r="O65" s="58"/>
      <c r="P65" s="58"/>
      <c r="Q65" s="58"/>
    </row>
    <row r="66" spans="7:17" ht="15.75" customHeight="1">
      <c r="G66" s="47" t="s">
        <v>4</v>
      </c>
      <c r="H66" s="58"/>
      <c r="I66" s="58"/>
      <c r="J66" s="58"/>
      <c r="K66" s="58"/>
      <c r="L66" s="58"/>
      <c r="M66" s="58"/>
      <c r="N66" s="58"/>
      <c r="O66" s="58"/>
      <c r="P66" s="58"/>
      <c r="Q66" s="58"/>
    </row>
    <row r="67" spans="7:17" ht="15.75" customHeight="1">
      <c r="G67" s="47" t="s">
        <v>5</v>
      </c>
      <c r="H67" s="58"/>
      <c r="I67" s="58"/>
      <c r="J67" s="58"/>
      <c r="K67" s="58"/>
      <c r="L67" s="58"/>
      <c r="M67" s="58"/>
      <c r="N67" s="58"/>
      <c r="O67" s="58"/>
      <c r="P67" s="58"/>
      <c r="Q67" s="58"/>
    </row>
    <row r="68" spans="7:17" ht="15.75" customHeight="1">
      <c r="G68" s="47" t="s">
        <v>6</v>
      </c>
      <c r="H68" s="58"/>
      <c r="I68" s="58"/>
      <c r="J68" s="58"/>
      <c r="K68" s="58"/>
      <c r="L68" s="58"/>
      <c r="M68" s="58"/>
      <c r="N68" s="58"/>
      <c r="O68" s="58"/>
      <c r="P68" s="58"/>
      <c r="Q68" s="58"/>
    </row>
    <row r="69" spans="7:17" ht="15.75" customHeight="1">
      <c r="G69" s="47" t="s">
        <v>7</v>
      </c>
      <c r="H69" s="58"/>
      <c r="I69" s="58"/>
      <c r="J69" s="58"/>
      <c r="K69" s="58"/>
      <c r="L69" s="58"/>
      <c r="M69" s="58"/>
      <c r="N69" s="58"/>
      <c r="O69" s="58"/>
      <c r="P69" s="58"/>
      <c r="Q69" s="58"/>
    </row>
    <row r="86" spans="7:23" ht="15.75" customHeight="1">
      <c r="G86" s="78" t="s">
        <v>15</v>
      </c>
      <c r="H86" s="78"/>
      <c r="I86" s="78"/>
      <c r="J86" s="78"/>
      <c r="K86" s="46"/>
      <c r="M86" s="82" t="s">
        <v>11</v>
      </c>
      <c r="N86" s="82"/>
      <c r="O86" s="82"/>
      <c r="P86" s="82"/>
      <c r="Q86" s="82"/>
      <c r="S86" s="82" t="s">
        <v>28</v>
      </c>
      <c r="T86" s="82"/>
      <c r="U86" s="82"/>
      <c r="V86" s="82"/>
      <c r="W86" s="82"/>
    </row>
    <row r="87" spans="7:23" ht="15.75" customHeight="1">
      <c r="G87" s="47" t="s">
        <v>0</v>
      </c>
      <c r="H87" s="47" t="s">
        <v>9</v>
      </c>
      <c r="I87" s="75"/>
      <c r="J87" s="47" t="s">
        <v>30</v>
      </c>
      <c r="K87" s="47" t="s">
        <v>36</v>
      </c>
      <c r="M87" s="82"/>
      <c r="N87" s="82"/>
      <c r="O87" s="82"/>
      <c r="P87" s="82"/>
      <c r="Q87" s="82"/>
      <c r="S87" s="82"/>
      <c r="T87" s="82"/>
      <c r="U87" s="82"/>
      <c r="V87" s="82"/>
      <c r="W87" s="82"/>
    </row>
    <row r="88" spans="7:23" ht="15.75" customHeight="1">
      <c r="G88" s="47">
        <v>1</v>
      </c>
      <c r="H88" s="47" t="s">
        <v>1</v>
      </c>
      <c r="I88" s="75"/>
      <c r="J88" s="48">
        <v>900000</v>
      </c>
      <c r="K88" s="48">
        <f>J88/2</f>
        <v>450000</v>
      </c>
      <c r="M88" s="83">
        <v>6000000</v>
      </c>
      <c r="N88" s="84"/>
      <c r="O88" s="84"/>
      <c r="P88" s="84"/>
      <c r="Q88" s="85"/>
      <c r="S88" s="83">
        <v>6000000</v>
      </c>
      <c r="T88" s="84"/>
      <c r="U88" s="84"/>
      <c r="V88" s="84"/>
      <c r="W88" s="85"/>
    </row>
    <row r="89" spans="7:23" ht="15.75" customHeight="1">
      <c r="G89" s="47">
        <v>2</v>
      </c>
      <c r="H89" s="47" t="s">
        <v>2</v>
      </c>
      <c r="I89" s="75"/>
      <c r="J89" s="48">
        <v>800000</v>
      </c>
      <c r="K89" s="48">
        <f t="shared" ref="K89:K94" si="0">J89/2</f>
        <v>400000</v>
      </c>
      <c r="M89" s="86"/>
      <c r="N89" s="87"/>
      <c r="O89" s="87"/>
      <c r="P89" s="87"/>
      <c r="Q89" s="88"/>
      <c r="S89" s="86"/>
      <c r="T89" s="87"/>
      <c r="U89" s="87"/>
      <c r="V89" s="87"/>
      <c r="W89" s="88"/>
    </row>
    <row r="90" spans="7:23" ht="15.75" customHeight="1">
      <c r="G90" s="47">
        <v>3</v>
      </c>
      <c r="H90" s="47" t="s">
        <v>3</v>
      </c>
      <c r="I90" s="75"/>
      <c r="J90" s="48">
        <v>900000</v>
      </c>
      <c r="K90" s="48">
        <f t="shared" si="0"/>
        <v>450000</v>
      </c>
      <c r="M90" s="86"/>
      <c r="N90" s="87"/>
      <c r="O90" s="87"/>
      <c r="P90" s="87"/>
      <c r="Q90" s="88"/>
      <c r="S90" s="86"/>
      <c r="T90" s="87"/>
      <c r="U90" s="87"/>
      <c r="V90" s="87"/>
      <c r="W90" s="88"/>
    </row>
    <row r="91" spans="7:23" ht="15.75" customHeight="1">
      <c r="G91" s="47">
        <v>4</v>
      </c>
      <c r="H91" s="47" t="s">
        <v>4</v>
      </c>
      <c r="I91" s="75"/>
      <c r="J91" s="48">
        <v>1000000</v>
      </c>
      <c r="K91" s="48">
        <f t="shared" si="0"/>
        <v>500000</v>
      </c>
      <c r="M91" s="86"/>
      <c r="N91" s="87"/>
      <c r="O91" s="87"/>
      <c r="P91" s="87"/>
      <c r="Q91" s="88"/>
      <c r="S91" s="86"/>
      <c r="T91" s="87"/>
      <c r="U91" s="87"/>
      <c r="V91" s="87"/>
      <c r="W91" s="88"/>
    </row>
    <row r="92" spans="7:23" ht="15.75" customHeight="1">
      <c r="G92" s="47">
        <v>5</v>
      </c>
      <c r="H92" s="47" t="s">
        <v>5</v>
      </c>
      <c r="I92" s="75"/>
      <c r="J92" s="48">
        <v>400000</v>
      </c>
      <c r="K92" s="48">
        <f t="shared" si="0"/>
        <v>200000</v>
      </c>
      <c r="M92" s="86"/>
      <c r="N92" s="87"/>
      <c r="O92" s="87"/>
      <c r="P92" s="87"/>
      <c r="Q92" s="88"/>
      <c r="S92" s="86"/>
      <c r="T92" s="87"/>
      <c r="U92" s="87"/>
      <c r="V92" s="87"/>
      <c r="W92" s="88"/>
    </row>
    <row r="93" spans="7:23" ht="15.75" customHeight="1">
      <c r="G93" s="47">
        <v>6</v>
      </c>
      <c r="H93" s="47" t="s">
        <v>6</v>
      </c>
      <c r="I93" s="75"/>
      <c r="J93" s="48">
        <v>100000</v>
      </c>
      <c r="K93" s="48">
        <f t="shared" si="0"/>
        <v>50000</v>
      </c>
      <c r="M93" s="86"/>
      <c r="N93" s="87"/>
      <c r="O93" s="87"/>
      <c r="P93" s="87"/>
      <c r="Q93" s="88"/>
      <c r="S93" s="86"/>
      <c r="T93" s="87"/>
      <c r="U93" s="87"/>
      <c r="V93" s="87"/>
      <c r="W93" s="88"/>
    </row>
    <row r="94" spans="7:23" ht="15.75" customHeight="1">
      <c r="G94" s="47">
        <v>7</v>
      </c>
      <c r="H94" s="47" t="s">
        <v>7</v>
      </c>
      <c r="I94" s="75"/>
      <c r="J94" s="48">
        <v>100000</v>
      </c>
      <c r="K94" s="48">
        <f t="shared" si="0"/>
        <v>50000</v>
      </c>
      <c r="M94" s="86"/>
      <c r="N94" s="87"/>
      <c r="O94" s="87"/>
      <c r="P94" s="87"/>
      <c r="Q94" s="88"/>
      <c r="S94" s="86"/>
      <c r="T94" s="87"/>
      <c r="U94" s="87"/>
      <c r="V94" s="87"/>
      <c r="W94" s="88"/>
    </row>
    <row r="95" spans="7:23" ht="15.75" customHeight="1">
      <c r="G95" s="49"/>
      <c r="H95" s="50" t="s">
        <v>10</v>
      </c>
      <c r="I95" s="50"/>
      <c r="J95" s="51">
        <f>SUM(J88:J94)</f>
        <v>4200000</v>
      </c>
      <c r="K95" s="51">
        <f>SUM(K88:K94)</f>
        <v>2100000</v>
      </c>
      <c r="M95" s="89"/>
      <c r="N95" s="90"/>
      <c r="O95" s="90"/>
      <c r="P95" s="90"/>
      <c r="Q95" s="91"/>
      <c r="S95" s="89"/>
      <c r="T95" s="90"/>
      <c r="U95" s="90"/>
      <c r="V95" s="90"/>
      <c r="W95" s="91"/>
    </row>
    <row r="97" spans="7:23" ht="15.75" customHeight="1">
      <c r="G97" s="98" t="s">
        <v>12</v>
      </c>
      <c r="H97" s="98"/>
      <c r="I97" s="98"/>
      <c r="J97" s="98"/>
      <c r="K97" s="98"/>
      <c r="M97" s="82" t="s">
        <v>29</v>
      </c>
      <c r="N97" s="82"/>
      <c r="O97" s="82"/>
      <c r="P97" s="82"/>
      <c r="Q97" s="82"/>
      <c r="S97" s="92" t="s">
        <v>27</v>
      </c>
      <c r="T97" s="93"/>
      <c r="U97" s="93"/>
      <c r="V97" s="93"/>
      <c r="W97" s="94"/>
    </row>
    <row r="98" spans="7:23" ht="15.75" customHeight="1">
      <c r="G98" s="47" t="s">
        <v>0</v>
      </c>
      <c r="H98" s="47" t="s">
        <v>13</v>
      </c>
      <c r="I98" s="75"/>
      <c r="J98" s="47" t="s">
        <v>9</v>
      </c>
      <c r="K98" s="47" t="s">
        <v>8</v>
      </c>
      <c r="M98" s="82"/>
      <c r="N98" s="82"/>
      <c r="O98" s="82"/>
      <c r="P98" s="82"/>
      <c r="Q98" s="82"/>
      <c r="S98" s="95"/>
      <c r="T98" s="96"/>
      <c r="U98" s="96"/>
      <c r="V98" s="96"/>
      <c r="W98" s="97"/>
    </row>
    <row r="99" spans="7:23" ht="15.75" customHeight="1">
      <c r="G99" s="47">
        <v>1</v>
      </c>
      <c r="H99" s="47" t="s">
        <v>14</v>
      </c>
      <c r="I99" s="75"/>
      <c r="J99" s="47" t="s">
        <v>4</v>
      </c>
      <c r="K99" s="48">
        <v>2500000</v>
      </c>
      <c r="M99" s="83">
        <v>6000000</v>
      </c>
      <c r="N99" s="84"/>
      <c r="O99" s="84"/>
      <c r="P99" s="84"/>
      <c r="Q99" s="85"/>
      <c r="S99" s="83">
        <v>6000000</v>
      </c>
      <c r="T99" s="84"/>
      <c r="U99" s="84"/>
      <c r="V99" s="84"/>
      <c r="W99" s="85"/>
    </row>
    <row r="100" spans="7:23" ht="15.75" customHeight="1">
      <c r="G100" s="47">
        <v>2</v>
      </c>
      <c r="H100" s="53" t="s">
        <v>22</v>
      </c>
      <c r="I100" s="53"/>
      <c r="J100" s="47" t="s">
        <v>4</v>
      </c>
      <c r="K100" s="48">
        <v>500000</v>
      </c>
      <c r="M100" s="86"/>
      <c r="N100" s="87"/>
      <c r="O100" s="87"/>
      <c r="P100" s="87"/>
      <c r="Q100" s="88"/>
      <c r="S100" s="86"/>
      <c r="T100" s="87"/>
      <c r="U100" s="87"/>
      <c r="V100" s="87"/>
      <c r="W100" s="88"/>
    </row>
    <row r="101" spans="7:23" ht="15.75" customHeight="1">
      <c r="G101" s="47"/>
      <c r="H101" s="53"/>
      <c r="I101" s="53"/>
      <c r="J101" s="47"/>
      <c r="K101" s="48"/>
      <c r="M101" s="86"/>
      <c r="N101" s="87"/>
      <c r="O101" s="87"/>
      <c r="P101" s="87"/>
      <c r="Q101" s="88"/>
      <c r="S101" s="86"/>
      <c r="T101" s="87"/>
      <c r="U101" s="87"/>
      <c r="V101" s="87"/>
      <c r="W101" s="88"/>
    </row>
    <row r="102" spans="7:23" ht="15.75" customHeight="1">
      <c r="G102" s="54"/>
      <c r="H102" s="54"/>
      <c r="I102" s="54"/>
      <c r="J102" s="55"/>
      <c r="K102" s="55"/>
      <c r="M102" s="86"/>
      <c r="N102" s="87"/>
      <c r="O102" s="87"/>
      <c r="P102" s="87"/>
      <c r="Q102" s="88"/>
      <c r="S102" s="86"/>
      <c r="T102" s="87"/>
      <c r="U102" s="87"/>
      <c r="V102" s="87"/>
      <c r="W102" s="88"/>
    </row>
    <row r="103" spans="7:23" ht="15.75" customHeight="1">
      <c r="G103" s="54"/>
      <c r="H103" s="54"/>
      <c r="I103" s="54"/>
      <c r="J103" s="55"/>
      <c r="K103" s="55"/>
      <c r="M103" s="86"/>
      <c r="N103" s="87"/>
      <c r="O103" s="87"/>
      <c r="P103" s="87"/>
      <c r="Q103" s="88"/>
      <c r="S103" s="86"/>
      <c r="T103" s="87"/>
      <c r="U103" s="87"/>
      <c r="V103" s="87"/>
      <c r="W103" s="88"/>
    </row>
    <row r="104" spans="7:23" ht="15.75" customHeight="1">
      <c r="G104" s="54"/>
      <c r="H104" s="54"/>
      <c r="I104" s="54"/>
      <c r="J104" s="55"/>
      <c r="K104" s="55"/>
      <c r="M104" s="86"/>
      <c r="N104" s="87"/>
      <c r="O104" s="87"/>
      <c r="P104" s="87"/>
      <c r="Q104" s="88"/>
      <c r="S104" s="86"/>
      <c r="T104" s="87"/>
      <c r="U104" s="87"/>
      <c r="V104" s="87"/>
      <c r="W104" s="88"/>
    </row>
    <row r="105" spans="7:23" ht="15.75" customHeight="1">
      <c r="G105" s="56"/>
      <c r="H105" s="56"/>
      <c r="I105" s="56"/>
      <c r="J105" s="56" t="s">
        <v>10</v>
      </c>
      <c r="K105" s="57">
        <f>SUM(K99:K101)</f>
        <v>3000000</v>
      </c>
      <c r="M105" s="86"/>
      <c r="N105" s="87"/>
      <c r="O105" s="87"/>
      <c r="P105" s="87"/>
      <c r="Q105" s="88"/>
      <c r="S105" s="86"/>
      <c r="T105" s="87"/>
      <c r="U105" s="87"/>
      <c r="V105" s="87"/>
      <c r="W105" s="88"/>
    </row>
    <row r="106" spans="7:23" ht="15.75" customHeight="1">
      <c r="M106" s="89"/>
      <c r="N106" s="90"/>
      <c r="O106" s="90"/>
      <c r="P106" s="90"/>
      <c r="Q106" s="91"/>
      <c r="S106" s="89"/>
      <c r="T106" s="90"/>
      <c r="U106" s="90"/>
      <c r="V106" s="90"/>
      <c r="W106" s="91"/>
    </row>
    <row r="108" spans="7:23" ht="15.75" customHeight="1">
      <c r="G108" s="78" t="s">
        <v>31</v>
      </c>
      <c r="H108" s="78"/>
      <c r="I108" s="78"/>
      <c r="J108" s="78"/>
    </row>
    <row r="109" spans="7:23" ht="15.75" customHeight="1">
      <c r="G109" s="47" t="s">
        <v>0</v>
      </c>
      <c r="H109" s="47" t="s">
        <v>9</v>
      </c>
      <c r="I109" s="75"/>
      <c r="J109" s="47" t="s">
        <v>8</v>
      </c>
    </row>
    <row r="110" spans="7:23" ht="15.75" customHeight="1">
      <c r="G110" s="47">
        <v>1</v>
      </c>
      <c r="H110" s="47" t="s">
        <v>1</v>
      </c>
      <c r="I110" s="75"/>
      <c r="J110" s="48">
        <f>850000-H63-J63</f>
        <v>719100</v>
      </c>
    </row>
    <row r="111" spans="7:23" ht="15.75" customHeight="1">
      <c r="G111" s="47">
        <v>2</v>
      </c>
      <c r="H111" s="47" t="s">
        <v>2</v>
      </c>
      <c r="I111" s="75"/>
      <c r="J111" s="48">
        <v>800000</v>
      </c>
    </row>
    <row r="112" spans="7:23" ht="15.75" customHeight="1">
      <c r="G112" s="47">
        <v>3</v>
      </c>
      <c r="H112" s="47" t="s">
        <v>3</v>
      </c>
      <c r="I112" s="75"/>
      <c r="J112" s="48">
        <v>850000</v>
      </c>
    </row>
    <row r="113" spans="7:11" ht="15.75" customHeight="1">
      <c r="G113" s="47">
        <v>4</v>
      </c>
      <c r="H113" s="47" t="s">
        <v>4</v>
      </c>
      <c r="I113" s="75"/>
      <c r="J113" s="48">
        <v>1000000</v>
      </c>
    </row>
    <row r="114" spans="7:11" ht="15.75" customHeight="1">
      <c r="G114" s="47">
        <v>5</v>
      </c>
      <c r="H114" s="47" t="s">
        <v>5</v>
      </c>
      <c r="I114" s="75"/>
      <c r="J114" s="48">
        <v>500000</v>
      </c>
    </row>
    <row r="115" spans="7:11" ht="15.75" customHeight="1">
      <c r="G115" s="47">
        <v>6</v>
      </c>
      <c r="H115" s="47" t="s">
        <v>6</v>
      </c>
      <c r="I115" s="75"/>
      <c r="J115" s="48">
        <v>100000</v>
      </c>
    </row>
    <row r="116" spans="7:11" ht="15.75" customHeight="1">
      <c r="G116" s="47">
        <v>7</v>
      </c>
      <c r="H116" s="47" t="s">
        <v>7</v>
      </c>
      <c r="I116" s="75"/>
      <c r="J116" s="48">
        <v>100000</v>
      </c>
    </row>
    <row r="117" spans="7:11" ht="15.75" customHeight="1">
      <c r="G117" s="52">
        <v>8</v>
      </c>
      <c r="H117" s="52" t="s">
        <v>32</v>
      </c>
      <c r="I117" s="75"/>
      <c r="J117" s="48"/>
    </row>
    <row r="118" spans="7:11" ht="15.75" customHeight="1">
      <c r="G118" s="52">
        <v>9</v>
      </c>
      <c r="H118" s="52" t="s">
        <v>33</v>
      </c>
      <c r="I118" s="75"/>
      <c r="J118" s="48"/>
    </row>
    <row r="119" spans="7:11" ht="15.75" customHeight="1">
      <c r="G119" s="52">
        <v>10</v>
      </c>
      <c r="H119" s="52" t="s">
        <v>34</v>
      </c>
      <c r="I119" s="75"/>
      <c r="J119" s="48"/>
    </row>
    <row r="120" spans="7:11" ht="15.75" customHeight="1">
      <c r="G120" s="52">
        <v>11</v>
      </c>
      <c r="H120" s="52" t="s">
        <v>35</v>
      </c>
      <c r="I120" s="75"/>
      <c r="J120" s="48"/>
    </row>
    <row r="121" spans="7:11" ht="15.75" customHeight="1">
      <c r="G121" s="52">
        <v>12</v>
      </c>
      <c r="H121" s="52" t="s">
        <v>12</v>
      </c>
      <c r="I121" s="75"/>
      <c r="J121" s="48">
        <f>K105</f>
        <v>3000000</v>
      </c>
    </row>
    <row r="122" spans="7:11" ht="15.75" customHeight="1">
      <c r="G122" s="49"/>
      <c r="H122" s="50" t="s">
        <v>10</v>
      </c>
      <c r="I122" s="50"/>
      <c r="J122" s="51">
        <f>SUM(J110:J121)</f>
        <v>7069100</v>
      </c>
    </row>
    <row r="125" spans="7:11" ht="15.75" customHeight="1">
      <c r="J125" s="58"/>
      <c r="K125" s="58"/>
    </row>
  </sheetData>
  <mergeCells count="22">
    <mergeCell ref="E7:G7"/>
    <mergeCell ref="I10:J10"/>
    <mergeCell ref="I7:J7"/>
    <mergeCell ref="S88:W95"/>
    <mergeCell ref="M97:Q98"/>
    <mergeCell ref="M99:Q106"/>
    <mergeCell ref="G97:K97"/>
    <mergeCell ref="F10:G10"/>
    <mergeCell ref="G108:J108"/>
    <mergeCell ref="H61:Q61"/>
    <mergeCell ref="H1:X4"/>
    <mergeCell ref="J6:L6"/>
    <mergeCell ref="M6:O6"/>
    <mergeCell ref="P6:R6"/>
    <mergeCell ref="S6:U6"/>
    <mergeCell ref="V6:W6"/>
    <mergeCell ref="G86:J86"/>
    <mergeCell ref="M86:Q87"/>
    <mergeCell ref="M88:Q95"/>
    <mergeCell ref="S99:W106"/>
    <mergeCell ref="S97:W98"/>
    <mergeCell ref="S86:W87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DATA!$B$5:$B$16</xm:f>
          </x14:formula1>
          <xm:sqref>I7</xm:sqref>
        </x14:dataValidation>
        <x14:dataValidation type="list" showInputMessage="1" showErrorMessage="1">
          <x14:formula1>
            <xm:f>DATA!$D$5:$D$16</xm:f>
          </x14:formula1>
          <xm:sqref>N7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D16"/>
  <sheetViews>
    <sheetView workbookViewId="0">
      <selection activeCell="D5" sqref="D5:D16"/>
    </sheetView>
  </sheetViews>
  <sheetFormatPr defaultRowHeight="12.75"/>
  <sheetData>
    <row r="4" spans="2:4">
      <c r="B4" s="129" t="s">
        <v>57</v>
      </c>
      <c r="D4" s="129" t="s">
        <v>71</v>
      </c>
    </row>
    <row r="5" spans="2:4">
      <c r="B5" s="129" t="s">
        <v>58</v>
      </c>
      <c r="D5">
        <v>2024</v>
      </c>
    </row>
    <row r="6" spans="2:4">
      <c r="B6" s="129" t="s">
        <v>59</v>
      </c>
      <c r="D6">
        <v>2025</v>
      </c>
    </row>
    <row r="7" spans="2:4">
      <c r="B7" s="129" t="s">
        <v>60</v>
      </c>
      <c r="D7">
        <v>2026</v>
      </c>
    </row>
    <row r="8" spans="2:4">
      <c r="B8" s="129" t="s">
        <v>61</v>
      </c>
      <c r="D8">
        <v>2027</v>
      </c>
    </row>
    <row r="9" spans="2:4">
      <c r="B9" s="129" t="s">
        <v>62</v>
      </c>
      <c r="D9">
        <v>2028</v>
      </c>
    </row>
    <row r="10" spans="2:4">
      <c r="B10" s="129" t="s">
        <v>63</v>
      </c>
      <c r="D10">
        <v>2029</v>
      </c>
    </row>
    <row r="11" spans="2:4">
      <c r="B11" s="129" t="s">
        <v>64</v>
      </c>
      <c r="D11">
        <v>2030</v>
      </c>
    </row>
    <row r="12" spans="2:4">
      <c r="B12" s="129" t="s">
        <v>65</v>
      </c>
      <c r="D12">
        <v>2031</v>
      </c>
    </row>
    <row r="13" spans="2:4">
      <c r="B13" s="129" t="s">
        <v>66</v>
      </c>
      <c r="D13">
        <v>2032</v>
      </c>
    </row>
    <row r="14" spans="2:4">
      <c r="B14" s="129" t="s">
        <v>67</v>
      </c>
      <c r="D14">
        <v>2033</v>
      </c>
    </row>
    <row r="15" spans="2:4">
      <c r="B15" s="129" t="s">
        <v>68</v>
      </c>
      <c r="D15">
        <v>2034</v>
      </c>
    </row>
    <row r="16" spans="2:4">
      <c r="B16" s="129" t="s">
        <v>69</v>
      </c>
      <c r="D16">
        <v>2035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H11"/>
  <sheetViews>
    <sheetView zoomScale="55" zoomScaleNormal="55" workbookViewId="0"/>
  </sheetViews>
  <sheetFormatPr defaultColWidth="9.140625" defaultRowHeight="15"/>
  <cols>
    <col min="1" max="1" width="9.140625" style="2"/>
    <col min="2" max="2" width="3.5703125" style="2" bestFit="1" customWidth="1"/>
    <col min="3" max="3" width="29.42578125" style="2" bestFit="1" customWidth="1"/>
    <col min="4" max="4" width="9.7109375" style="2" bestFit="1" customWidth="1"/>
    <col min="5" max="13" width="9.140625" style="2"/>
    <col min="14" max="14" width="9.85546875" style="2" customWidth="1"/>
    <col min="15" max="16384" width="9.140625" style="2"/>
  </cols>
  <sheetData>
    <row r="2" spans="2:34" ht="15.75" thickBot="1"/>
    <row r="3" spans="2:34" ht="15.75" thickBot="1">
      <c r="B3" s="3"/>
      <c r="C3" s="3"/>
      <c r="D3" s="99" t="s">
        <v>17</v>
      </c>
      <c r="E3" s="100"/>
      <c r="F3" s="100"/>
      <c r="G3" s="100"/>
      <c r="H3" s="100"/>
      <c r="I3" s="100"/>
      <c r="J3" s="101"/>
      <c r="K3" s="102" t="s">
        <v>18</v>
      </c>
      <c r="L3" s="100"/>
      <c r="M3" s="100"/>
      <c r="N3" s="100"/>
      <c r="O3" s="100"/>
      <c r="P3" s="100"/>
      <c r="Q3" s="101"/>
      <c r="R3" s="103" t="s">
        <v>19</v>
      </c>
      <c r="S3" s="100"/>
      <c r="T3" s="100"/>
      <c r="U3" s="100"/>
      <c r="V3" s="100"/>
      <c r="W3" s="100"/>
      <c r="X3" s="101"/>
      <c r="Y3" s="104" t="s">
        <v>20</v>
      </c>
      <c r="Z3" s="100"/>
      <c r="AA3" s="100"/>
      <c r="AB3" s="100"/>
      <c r="AC3" s="100"/>
      <c r="AD3" s="100"/>
      <c r="AE3" s="101"/>
      <c r="AF3" s="105"/>
      <c r="AG3" s="100"/>
      <c r="AH3" s="106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5.75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34"/>
  <sheetViews>
    <sheetView zoomScaleNormal="100" workbookViewId="0">
      <selection activeCell="G16" sqref="G16"/>
    </sheetView>
  </sheetViews>
  <sheetFormatPr defaultRowHeight="12.75"/>
  <cols>
    <col min="2" max="2" width="24.140625" customWidth="1"/>
    <col min="3" max="3" width="17.7109375" customWidth="1"/>
    <col min="7" max="7" width="14.42578125" customWidth="1"/>
    <col min="8" max="8" width="17.7109375" customWidth="1"/>
    <col min="9" max="9" width="18.140625" style="1" bestFit="1" customWidth="1"/>
  </cols>
  <sheetData>
    <row r="1" spans="2:21">
      <c r="I1"/>
    </row>
    <row r="2" spans="2:21">
      <c r="I2"/>
    </row>
    <row r="3" spans="2:21" ht="13.5" thickBot="1">
      <c r="G3" s="62" t="s">
        <v>23</v>
      </c>
      <c r="H3" s="62" t="s">
        <v>24</v>
      </c>
      <c r="I3" s="62" t="s">
        <v>25</v>
      </c>
      <c r="J3" s="112" t="s">
        <v>26</v>
      </c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/>
    </row>
    <row r="4" spans="2:21" ht="12.75" customHeight="1" thickBot="1">
      <c r="B4" s="107" t="s">
        <v>43</v>
      </c>
      <c r="C4" s="108"/>
      <c r="G4" s="60">
        <v>23</v>
      </c>
      <c r="H4" s="63">
        <v>123</v>
      </c>
      <c r="I4" s="64">
        <v>123</v>
      </c>
      <c r="J4" s="115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7"/>
    </row>
    <row r="5" spans="2:21" ht="12.75" customHeight="1">
      <c r="B5" s="68" t="s">
        <v>16</v>
      </c>
      <c r="C5" s="69"/>
      <c r="G5" s="60">
        <v>123</v>
      </c>
      <c r="H5" s="63">
        <v>123</v>
      </c>
      <c r="I5" s="64">
        <v>123</v>
      </c>
      <c r="J5" s="115">
        <v>123</v>
      </c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7"/>
    </row>
    <row r="6" spans="2:21" ht="12.75" customHeight="1">
      <c r="B6" s="66" t="s">
        <v>44</v>
      </c>
      <c r="C6" s="67"/>
      <c r="G6" s="60">
        <v>123</v>
      </c>
      <c r="H6" s="63">
        <v>123</v>
      </c>
      <c r="I6" s="64">
        <v>123</v>
      </c>
      <c r="J6" s="115">
        <v>123</v>
      </c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7"/>
    </row>
    <row r="7" spans="2:21" ht="12.75" customHeight="1">
      <c r="B7" s="66" t="s">
        <v>45</v>
      </c>
      <c r="C7" s="67"/>
      <c r="G7" s="60">
        <v>123</v>
      </c>
      <c r="H7" s="63">
        <v>123</v>
      </c>
      <c r="I7" s="64">
        <v>123</v>
      </c>
      <c r="J7" s="115">
        <v>123</v>
      </c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7"/>
    </row>
    <row r="8" spans="2:21" ht="12.75" customHeight="1">
      <c r="B8" s="66" t="s">
        <v>46</v>
      </c>
      <c r="C8" s="67"/>
      <c r="G8" s="60" t="s">
        <v>47</v>
      </c>
      <c r="H8" s="63" t="s">
        <v>47</v>
      </c>
      <c r="I8" s="64" t="s">
        <v>47</v>
      </c>
      <c r="J8" s="115" t="s">
        <v>47</v>
      </c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7"/>
    </row>
    <row r="9" spans="2:21" ht="12.75" customHeight="1">
      <c r="B9" s="70"/>
      <c r="C9" s="77" t="s">
        <v>51</v>
      </c>
      <c r="G9" s="60">
        <v>1</v>
      </c>
      <c r="H9" s="63">
        <v>2</v>
      </c>
      <c r="I9" s="64">
        <v>3</v>
      </c>
      <c r="J9" s="115">
        <v>4</v>
      </c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7"/>
    </row>
    <row r="10" spans="2:21" ht="12.75" customHeight="1">
      <c r="B10" s="70"/>
      <c r="C10" s="71"/>
      <c r="G10" s="60" t="s">
        <v>48</v>
      </c>
      <c r="H10" s="63" t="s">
        <v>49</v>
      </c>
      <c r="I10" s="64" t="s">
        <v>50</v>
      </c>
      <c r="J10" s="115" t="s">
        <v>51</v>
      </c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7"/>
    </row>
    <row r="11" spans="2:21" ht="12.75" customHeight="1">
      <c r="B11" s="70"/>
      <c r="C11" s="71"/>
      <c r="G11" s="60"/>
      <c r="H11" s="63"/>
      <c r="I11" s="64"/>
      <c r="J11" s="115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7"/>
    </row>
    <row r="12" spans="2:21" ht="12.75" customHeight="1">
      <c r="B12" s="70"/>
      <c r="C12" s="71"/>
      <c r="G12" s="60"/>
      <c r="H12" s="63"/>
      <c r="I12" s="64"/>
      <c r="J12" s="115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7"/>
    </row>
    <row r="13" spans="2:21" ht="12.75" customHeight="1" thickBot="1">
      <c r="B13" s="72"/>
      <c r="C13" s="73"/>
      <c r="G13" s="60"/>
      <c r="H13" s="61"/>
      <c r="I13" s="64"/>
      <c r="J13" s="115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7"/>
    </row>
    <row r="14" spans="2:21">
      <c r="G14" s="63"/>
      <c r="H14" s="61"/>
      <c r="I14" s="64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1"/>
    </row>
    <row r="15" spans="2:21">
      <c r="G15" s="61"/>
      <c r="H15" s="61"/>
      <c r="I15" s="64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1"/>
    </row>
    <row r="16" spans="2:21">
      <c r="G16" s="61"/>
      <c r="H16" s="61"/>
      <c r="I16" s="64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1"/>
    </row>
    <row r="17" spans="7:21">
      <c r="G17" s="61"/>
      <c r="H17" s="61"/>
      <c r="I17" s="64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1"/>
    </row>
    <row r="18" spans="7:21">
      <c r="G18" s="61"/>
      <c r="H18" s="61"/>
      <c r="I18" s="64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1"/>
    </row>
    <row r="19" spans="7:21">
      <c r="G19" s="61"/>
      <c r="H19" s="61"/>
      <c r="I19" s="64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1"/>
    </row>
    <row r="20" spans="7:21">
      <c r="G20" s="61"/>
      <c r="H20" s="61"/>
      <c r="I20" s="64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1"/>
    </row>
    <row r="21" spans="7:21">
      <c r="G21" s="61"/>
      <c r="H21" s="61"/>
      <c r="I21" s="64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1"/>
    </row>
    <row r="22" spans="7:21">
      <c r="G22" s="61"/>
      <c r="H22" s="61"/>
      <c r="I22" s="64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1"/>
    </row>
    <row r="23" spans="7:21">
      <c r="G23" s="61"/>
      <c r="H23" s="61"/>
      <c r="I23" s="64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1"/>
    </row>
    <row r="24" spans="7:21">
      <c r="G24" s="61"/>
      <c r="H24" s="61"/>
      <c r="I24" s="64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1"/>
    </row>
    <row r="25" spans="7:21">
      <c r="G25" s="61"/>
      <c r="H25" s="61"/>
      <c r="I25" s="64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1"/>
    </row>
    <row r="26" spans="7:21">
      <c r="G26" s="61"/>
      <c r="H26" s="61"/>
      <c r="I26" s="64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1"/>
    </row>
    <row r="27" spans="7:21">
      <c r="G27" s="61"/>
      <c r="H27" s="61"/>
      <c r="I27" s="64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1"/>
    </row>
    <row r="28" spans="7:21">
      <c r="G28" s="61"/>
      <c r="H28" s="61"/>
      <c r="I28" s="64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1"/>
    </row>
    <row r="29" spans="7:21">
      <c r="G29" s="61"/>
      <c r="H29" s="61"/>
      <c r="I29" s="64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1"/>
    </row>
    <row r="30" spans="7:21">
      <c r="G30" s="61"/>
      <c r="H30" s="61"/>
      <c r="I30" s="64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1"/>
    </row>
    <row r="31" spans="7:21">
      <c r="G31" s="61"/>
      <c r="H31" s="61"/>
      <c r="I31" s="64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1"/>
    </row>
    <row r="32" spans="7:21">
      <c r="G32" s="61"/>
      <c r="H32" s="61"/>
      <c r="I32" s="64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1"/>
    </row>
    <row r="33" spans="7:21">
      <c r="G33" s="61"/>
      <c r="H33" s="61"/>
      <c r="I33" s="64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1"/>
    </row>
    <row r="34" spans="7:21">
      <c r="G34" s="61"/>
      <c r="H34" s="61"/>
      <c r="I34" s="64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1"/>
    </row>
  </sheetData>
  <mergeCells count="33">
    <mergeCell ref="J33:U33"/>
    <mergeCell ref="J34:U34"/>
    <mergeCell ref="J27:U27"/>
    <mergeCell ref="J28:U28"/>
    <mergeCell ref="J29:U29"/>
    <mergeCell ref="J30:U30"/>
    <mergeCell ref="J31:U31"/>
    <mergeCell ref="J32:U32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</mergeCells>
  <dataValidations count="1">
    <dataValidation type="custom" allowBlank="1" showDropDown="1" sqref="G4:G34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12</xdr:row>
                <xdr:rowOff>104775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BULANAN</vt:lpstr>
      <vt:lpstr>DATA</vt:lpstr>
      <vt:lpstr>Sheet2</vt:lpstr>
      <vt:lpstr>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JACKDAW</cp:lastModifiedBy>
  <dcterms:created xsi:type="dcterms:W3CDTF">2024-09-17T08:03:56Z</dcterms:created>
  <dcterms:modified xsi:type="dcterms:W3CDTF">2024-09-17T13:11:55Z</dcterms:modified>
</cp:coreProperties>
</file>