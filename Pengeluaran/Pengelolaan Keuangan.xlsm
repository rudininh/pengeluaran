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GitHub\pengeluaran\Pengeluaran\"/>
    </mc:Choice>
  </mc:AlternateContent>
  <xr:revisionPtr revIDLastSave="0" documentId="13_ncr:1_{F9446511-932B-4D39-B9E8-1B8F73CADC9A}" xr6:coauthVersionLast="37" xr6:coauthVersionMax="37" xr10:uidLastSave="{00000000-0000-0000-0000-000000000000}"/>
  <bookViews>
    <workbookView xWindow="0" yWindow="0" windowWidth="21570" windowHeight="8000" tabRatio="585" activeTab="2" xr2:uid="{00000000-000D-0000-FFFF-FFFF00000000}"/>
  </bookViews>
  <sheets>
    <sheet name="KOLOM ASET" sheetId="11" r:id="rId1"/>
    <sheet name="MASTER DATA" sheetId="10" r:id="rId2"/>
    <sheet name="DASHBOARD BULANAN" sheetId="1" r:id="rId3"/>
    <sheet name="INPUT TRANSAKSI" sheetId="6" r:id="rId4"/>
    <sheet name="DATA PENGELUARAN" sheetId="9" r:id="rId5"/>
    <sheet name="DATA TRANSAKSI" sheetId="7" r:id="rId6"/>
    <sheet name="PENGATURAN" sheetId="5" r:id="rId7"/>
    <sheet name="INPUT" sheetId="4" r:id="rId8"/>
    <sheet name="Sheet2" sheetId="3" r:id="rId9"/>
    <sheet name="Sheet3" sheetId="8" r:id="rId10"/>
  </sheets>
  <definedNames>
    <definedName name="_xlnm._FilterDatabase" localSheetId="4" hidden="1">'DATA PENGELUARAN'!$F$9:$K$11</definedName>
    <definedName name="_xlnm._FilterDatabase" localSheetId="0" hidden="1">'KOLOM ASET'!$F$9:$K$11</definedName>
    <definedName name="_xlnm._FilterDatabase" localSheetId="1" hidden="1">'MASTER DATA'!$F$9:$K$11</definedName>
  </definedNames>
  <calcPr calcId="179021"/>
</workbook>
</file>

<file path=xl/calcChain.xml><?xml version="1.0" encoding="utf-8"?>
<calcChain xmlns="http://schemas.openxmlformats.org/spreadsheetml/2006/main">
  <c r="AK109" i="1" l="1"/>
  <c r="AK108" i="1"/>
  <c r="AM105" i="1"/>
  <c r="AN99" i="1"/>
  <c r="AN100" i="1"/>
  <c r="AN105" i="1" s="1"/>
  <c r="AN101" i="1"/>
  <c r="AN102" i="1"/>
  <c r="AN103" i="1"/>
  <c r="AN104" i="1"/>
  <c r="AM104" i="1"/>
  <c r="AM103" i="1"/>
  <c r="AM102" i="1"/>
  <c r="AM99" i="1"/>
  <c r="AN98" i="1"/>
  <c r="AJ92" i="1"/>
  <c r="AK112" i="1"/>
  <c r="AL104" i="1"/>
  <c r="AK104" i="1"/>
  <c r="AK103" i="1"/>
  <c r="AL103" i="1"/>
  <c r="AL102" i="1"/>
  <c r="AK102" i="1"/>
  <c r="AK101" i="1"/>
  <c r="AL98" i="1"/>
  <c r="AJ105" i="1"/>
  <c r="AI95" i="1"/>
  <c r="AJ91" i="1"/>
  <c r="AJ90" i="1"/>
  <c r="AJ89" i="1"/>
  <c r="AJ88" i="1"/>
  <c r="AE89" i="1"/>
  <c r="AE90" i="1"/>
  <c r="AE91" i="1"/>
  <c r="AE92" i="1"/>
  <c r="AE93" i="1"/>
  <c r="AE94" i="1"/>
  <c r="AJ95" i="1" l="1"/>
  <c r="AL105" i="1"/>
  <c r="AK105" i="1"/>
  <c r="B39" i="5"/>
  <c r="B40" i="5" l="1"/>
  <c r="V21" i="6" l="1"/>
  <c r="S21" i="6"/>
  <c r="P21" i="6"/>
  <c r="P25" i="6"/>
  <c r="V17" i="6"/>
  <c r="S17" i="6"/>
  <c r="P17" i="6"/>
  <c r="V13" i="6"/>
  <c r="S13" i="6"/>
  <c r="P13" i="6"/>
  <c r="V9" i="6"/>
  <c r="S9" i="6"/>
  <c r="P9" i="6"/>
  <c r="F41" i="5" l="1"/>
  <c r="F37" i="5"/>
  <c r="F32" i="5"/>
  <c r="F43" i="5" s="1"/>
  <c r="L8" i="6" l="1"/>
  <c r="G8" i="6"/>
  <c r="E19" i="5"/>
  <c r="K110" i="9" l="1"/>
  <c r="L105" i="9"/>
  <c r="K121" i="9" s="1"/>
  <c r="K95" i="9"/>
  <c r="L94" i="9"/>
  <c r="L93" i="9"/>
  <c r="L92" i="9"/>
  <c r="L91" i="9"/>
  <c r="L90" i="9"/>
  <c r="L89" i="9"/>
  <c r="L88" i="9"/>
  <c r="L95" i="9" l="1"/>
  <c r="G19" i="6"/>
  <c r="M50" i="5"/>
  <c r="L40" i="5"/>
  <c r="M39" i="5"/>
  <c r="M38" i="5"/>
  <c r="M37" i="5"/>
  <c r="M36" i="5"/>
  <c r="M35" i="5"/>
  <c r="M34" i="5"/>
  <c r="M33" i="5"/>
  <c r="M40" i="5" l="1"/>
  <c r="J110" i="7"/>
  <c r="K105" i="7"/>
  <c r="J121" i="7" s="1"/>
  <c r="J95" i="7"/>
  <c r="K94" i="7"/>
  <c r="K93" i="7"/>
  <c r="K92" i="7"/>
  <c r="K91" i="7"/>
  <c r="K90" i="7"/>
  <c r="K89" i="7"/>
  <c r="K88" i="7"/>
  <c r="K95" i="7" l="1"/>
  <c r="J110" i="6"/>
  <c r="K105" i="6"/>
  <c r="J121" i="6" s="1"/>
  <c r="J95" i="6"/>
  <c r="K94" i="6"/>
  <c r="K93" i="6"/>
  <c r="K92" i="6"/>
  <c r="K91" i="6"/>
  <c r="K90" i="6"/>
  <c r="K89" i="6"/>
  <c r="K88" i="6"/>
  <c r="K95" i="6" l="1"/>
  <c r="J122" i="6"/>
  <c r="AE88" i="1" l="1"/>
  <c r="AE95" i="1" l="1"/>
  <c r="AD111" i="1"/>
  <c r="AE105" i="1"/>
  <c r="AD122" i="1" s="1"/>
  <c r="AD123" i="1" l="1"/>
  <c r="AD95" i="1"/>
</calcChain>
</file>

<file path=xl/sharedStrings.xml><?xml version="1.0" encoding="utf-8"?>
<sst xmlns="http://schemas.openxmlformats.org/spreadsheetml/2006/main" count="923" uniqueCount="258">
  <si>
    <t>NOMOR</t>
  </si>
  <si>
    <t>BAYI UTAMA</t>
  </si>
  <si>
    <t>KEBUTUHAN POKOK</t>
  </si>
  <si>
    <t>KEPERLUAN MAMA</t>
  </si>
  <si>
    <t>TABUNGAN UTAMA</t>
  </si>
  <si>
    <t>TABUNGAN DARURAT</t>
  </si>
  <si>
    <t>TABUNGAN BAYI</t>
  </si>
  <si>
    <t>ZAKAT, INFAQ, SADAQAH</t>
  </si>
  <si>
    <t>JUMLAH</t>
  </si>
  <si>
    <t>KATEGORI</t>
  </si>
  <si>
    <t>TOTAL</t>
  </si>
  <si>
    <t>TOTAL TABUNGAN UTAMA</t>
  </si>
  <si>
    <t>TERHUTANG</t>
  </si>
  <si>
    <t>YANG BERHUTANG</t>
  </si>
  <si>
    <t>MAMA AGUS</t>
  </si>
  <si>
    <t>RENCANA KEUANGAN BULANAN</t>
  </si>
  <si>
    <t>TANGGAL</t>
  </si>
  <si>
    <t>MINGGU KE-1</t>
  </si>
  <si>
    <t>MINGGU KE-2</t>
  </si>
  <si>
    <t>MINGGU KE-3</t>
  </si>
  <si>
    <t>MINGGU KE-4</t>
  </si>
  <si>
    <t>NO</t>
  </si>
  <si>
    <t>RUSDI</t>
  </si>
  <si>
    <t xml:space="preserve">Tanggal </t>
  </si>
  <si>
    <t xml:space="preserve">Sumber Uang </t>
  </si>
  <si>
    <t>Total Pengeluaran</t>
  </si>
  <si>
    <t>Deskripsi Pengeluaran</t>
  </si>
  <si>
    <t>TOTAL ASET</t>
  </si>
  <si>
    <t>TOTAL REKENING BANK KALSEL</t>
  </si>
  <si>
    <t>TOTAL REKENING BANK BRI</t>
  </si>
  <si>
    <t>JUMLAH 1 BULAN</t>
  </si>
  <si>
    <t>KEADAAN KEUANGAN BULANAN</t>
  </si>
  <si>
    <t>DOMPET</t>
  </si>
  <si>
    <t>REK BANK BRI</t>
  </si>
  <si>
    <t>REK BANK KALSEL</t>
  </si>
  <si>
    <t>ASET EMAS PLUANG</t>
  </si>
  <si>
    <t>JUMLAH 1/2 BULAN</t>
  </si>
  <si>
    <t>Kumpulan Dashboard</t>
  </si>
  <si>
    <t>Dashboard Bulanan</t>
  </si>
  <si>
    <t>Dashboard Tahunan</t>
  </si>
  <si>
    <t>Dashboard Investasi</t>
  </si>
  <si>
    <t>Input Transaksi</t>
  </si>
  <si>
    <t>Data Transaksi</t>
  </si>
  <si>
    <t>INPUT PENGELUARAN</t>
  </si>
  <si>
    <t>SUMBER UANG</t>
  </si>
  <si>
    <t>TOTAL PENGELUARAN</t>
  </si>
  <si>
    <t>DESKRIPSI PENGELUARAN</t>
  </si>
  <si>
    <t>asd</t>
  </si>
  <si>
    <t>b</t>
  </si>
  <si>
    <t>c</t>
  </si>
  <si>
    <t>d</t>
  </si>
  <si>
    <t xml:space="preserve">PERSONAL FINANCE </t>
  </si>
  <si>
    <t xml:space="preserve"> </t>
  </si>
  <si>
    <r>
      <t xml:space="preserve">Pilih Bulan </t>
    </r>
    <r>
      <rPr>
        <b/>
        <sz val="11"/>
        <color theme="0"/>
        <rFont val="Calibri"/>
        <family val="2"/>
      </rPr>
      <t>→</t>
    </r>
  </si>
  <si>
    <t>BULAN</t>
  </si>
  <si>
    <t>Januari</t>
  </si>
  <si>
    <t>Februari</t>
  </si>
  <si>
    <t>Maret</t>
  </si>
  <si>
    <t>April</t>
  </si>
  <si>
    <t>Mei</t>
  </si>
  <si>
    <t>Juni</t>
  </si>
  <si>
    <t>Juli</t>
  </si>
  <si>
    <t>Agustus</t>
  </si>
  <si>
    <t>September</t>
  </si>
  <si>
    <t>November</t>
  </si>
  <si>
    <t>Desember</t>
  </si>
  <si>
    <r>
      <t xml:space="preserve">Pilih Tahun </t>
    </r>
    <r>
      <rPr>
        <b/>
        <sz val="11"/>
        <color theme="0"/>
        <rFont val="Calibri"/>
        <family val="2"/>
      </rPr>
      <t>→</t>
    </r>
  </si>
  <si>
    <t>TAHUN</t>
  </si>
  <si>
    <t>Rp</t>
  </si>
  <si>
    <t>250,000,000</t>
  </si>
  <si>
    <t>lebih rendah dari target</t>
  </si>
  <si>
    <r>
      <t>DASHBOARD</t>
    </r>
    <r>
      <rPr>
        <b/>
        <sz val="20"/>
        <color theme="0"/>
        <rFont val="Montserrat"/>
      </rPr>
      <t xml:space="preserve"> </t>
    </r>
    <r>
      <rPr>
        <b/>
        <sz val="18"/>
        <color theme="0"/>
        <rFont val="Montserrat"/>
      </rPr>
      <t>V.1</t>
    </r>
  </si>
  <si>
    <t>© 2024 Rudini Nor Habibi. Semua hak dilindungi.</t>
  </si>
  <si>
    <t>Pengaturan</t>
  </si>
  <si>
    <t>Master Data</t>
  </si>
  <si>
    <t xml:space="preserve">PENGHASILAN </t>
  </si>
  <si>
    <t>PENGELUARAN</t>
  </si>
  <si>
    <t>TABUNGAN</t>
  </si>
  <si>
    <t>INVESTASI</t>
  </si>
  <si>
    <t>DASHBOARD KEUANGAN BULAN JANUARI 2024</t>
  </si>
  <si>
    <t>Bulan</t>
  </si>
  <si>
    <t>Aktual</t>
  </si>
  <si>
    <t>Target</t>
  </si>
  <si>
    <t>INPUT TRANSAKSI</t>
  </si>
  <si>
    <t>Tanggal</t>
  </si>
  <si>
    <t>Deskripsi</t>
  </si>
  <si>
    <t>Nominal</t>
  </si>
  <si>
    <t>Nama Metode Pembayaran</t>
  </si>
  <si>
    <t>Kategori</t>
  </si>
  <si>
    <t>Mie Goreng</t>
  </si>
  <si>
    <t>DATA TRANSAKSI</t>
  </si>
  <si>
    <t>Cash</t>
  </si>
  <si>
    <t>31/12/1899</t>
  </si>
  <si>
    <t>Input Pemasukan</t>
  </si>
  <si>
    <t>Sumber Uang</t>
  </si>
  <si>
    <t>Tujuan</t>
  </si>
  <si>
    <t>Input  Pengeluaran</t>
  </si>
  <si>
    <t>DATA PENGELUARAN</t>
  </si>
  <si>
    <t>Naik gocar</t>
  </si>
  <si>
    <t>Penerima</t>
  </si>
  <si>
    <t>Alfa</t>
  </si>
  <si>
    <t>Marugame Udon di Mall</t>
  </si>
  <si>
    <t>Makan</t>
  </si>
  <si>
    <t>BULAN SEKARANG</t>
  </si>
  <si>
    <t>beli mie</t>
  </si>
  <si>
    <t>Mama</t>
  </si>
  <si>
    <t>COBA</t>
  </si>
  <si>
    <t>October</t>
  </si>
  <si>
    <t>TUNJANGAN HARI RAYA</t>
  </si>
  <si>
    <t>GAJI HARI RYAA</t>
  </si>
  <si>
    <t>TOTAL THR HARI RAYA dan GAJI 13</t>
  </si>
  <si>
    <t>GAJI 13</t>
  </si>
  <si>
    <t>TABUNGNA RUDINI GAJI 1jt</t>
  </si>
  <si>
    <t>TANGGAL SEKARANG</t>
  </si>
  <si>
    <t xml:space="preserve">BAYI UTAMA </t>
  </si>
  <si>
    <t>ZAKAT, INFAQ, SADAQOH</t>
  </si>
  <si>
    <t>BERHUTANG</t>
  </si>
  <si>
    <t>Data Pengeluaran</t>
  </si>
  <si>
    <t xml:space="preserve">Ayam 3 </t>
  </si>
  <si>
    <t>Makan Pokok</t>
  </si>
  <si>
    <t>Tukang Ayam Pasar</t>
  </si>
  <si>
    <t>TOTAL SEMUA</t>
  </si>
  <si>
    <t>Beras 5kg Raja Ultima</t>
  </si>
  <si>
    <t>Beras</t>
  </si>
  <si>
    <t>Alfamart</t>
  </si>
  <si>
    <t>Susu Vidoran Anak</t>
  </si>
  <si>
    <t>Susu</t>
  </si>
  <si>
    <t>Charm Softek Intan</t>
  </si>
  <si>
    <t>Intan</t>
  </si>
  <si>
    <t>Hanasui Istri</t>
  </si>
  <si>
    <t>Istri</t>
  </si>
  <si>
    <t>Sabun Mandi GL</t>
  </si>
  <si>
    <t>Susu Frisian Flag</t>
  </si>
  <si>
    <t>Pengeluaran</t>
  </si>
  <si>
    <t>Ayam 3 Potong</t>
  </si>
  <si>
    <t>Pasar</t>
  </si>
  <si>
    <t>Semangka</t>
  </si>
  <si>
    <t>Telur 1 Rak</t>
  </si>
  <si>
    <t>Pukis</t>
  </si>
  <si>
    <t>Kodomo Tisu Basah</t>
  </si>
  <si>
    <t>Sosoft Sabun Cuci</t>
  </si>
  <si>
    <t>Royco 230Gram</t>
  </si>
  <si>
    <t>Susu Vidoran 925 gram</t>
  </si>
  <si>
    <t>Gas 3Kg</t>
  </si>
  <si>
    <t>Gas</t>
  </si>
  <si>
    <t>Minyak Goreng Tropical 2Liter</t>
  </si>
  <si>
    <t>Minyak Goreng</t>
  </si>
  <si>
    <t>Baby Oil</t>
  </si>
  <si>
    <t>Popok Sweety</t>
  </si>
  <si>
    <t>Popok</t>
  </si>
  <si>
    <t>Hintalu 1 Rak</t>
  </si>
  <si>
    <t>Telur</t>
  </si>
  <si>
    <t>Beras 5Kg</t>
  </si>
  <si>
    <t>Ayam 2 Ekor</t>
  </si>
  <si>
    <t>Ayam</t>
  </si>
  <si>
    <t>Tepung</t>
  </si>
  <si>
    <t>Pisang</t>
  </si>
  <si>
    <t>Buah</t>
  </si>
  <si>
    <t>Cobek</t>
  </si>
  <si>
    <t>Alat</t>
  </si>
  <si>
    <t>Wadah Ayam Ganal</t>
  </si>
  <si>
    <t>Makanan</t>
  </si>
  <si>
    <t>Bawang</t>
  </si>
  <si>
    <t>Bumbu</t>
  </si>
  <si>
    <t>Bumbu bestek dan masak habang</t>
  </si>
  <si>
    <t>Santan</t>
  </si>
  <si>
    <t>Lombok</t>
  </si>
  <si>
    <t>Sponge Piring</t>
  </si>
  <si>
    <t>Siomay</t>
  </si>
  <si>
    <t>Somay</t>
  </si>
  <si>
    <t>Roti Pisang</t>
  </si>
  <si>
    <t>Pajak</t>
  </si>
  <si>
    <t>Samsat</t>
  </si>
  <si>
    <t>Bayar Pajak Motor Scoopy Agus 3 Tahun</t>
  </si>
  <si>
    <t>Nasi Padang</t>
  </si>
  <si>
    <t>Nasi Padang CPNS Jumat</t>
  </si>
  <si>
    <t>Nasi Padang CPNS Sabtu</t>
  </si>
  <si>
    <t>Air Minum Hotel</t>
  </si>
  <si>
    <t>Hypermart</t>
  </si>
  <si>
    <t>Ayam Pale</t>
  </si>
  <si>
    <t>Pakle</t>
  </si>
  <si>
    <t>Martabak</t>
  </si>
  <si>
    <t>Martabak Rizky</t>
  </si>
  <si>
    <t>Obat</t>
  </si>
  <si>
    <t>Obat Abah dan Anggita</t>
  </si>
  <si>
    <t>Apotik</t>
  </si>
  <si>
    <t xml:space="preserve">Makan pentol </t>
  </si>
  <si>
    <t>Pentol</t>
  </si>
  <si>
    <t>Ayam 2 ekor</t>
  </si>
  <si>
    <t>Bawang Putih</t>
  </si>
  <si>
    <t>Tisu</t>
  </si>
  <si>
    <t>Bumbu Ayam Goreng</t>
  </si>
  <si>
    <t>Sayur dan Tahu</t>
  </si>
  <si>
    <t>Gula Palm</t>
  </si>
  <si>
    <t>EBUTUHAN POKOK</t>
  </si>
  <si>
    <t>Susu SKM</t>
  </si>
  <si>
    <t>Minyak Tropical 2Liter</t>
  </si>
  <si>
    <t>Minyak</t>
  </si>
  <si>
    <t>Ultra Milk</t>
  </si>
  <si>
    <t>keju prochic</t>
  </si>
  <si>
    <t>Tissu Bayi</t>
  </si>
  <si>
    <t>Anak</t>
  </si>
  <si>
    <t>Vitamin Anak</t>
  </si>
  <si>
    <t>Obat Anak</t>
  </si>
  <si>
    <t>Bayi</t>
  </si>
  <si>
    <t>Alfmart</t>
  </si>
  <si>
    <t>CussonBaby Oil</t>
  </si>
  <si>
    <t>Aflamart</t>
  </si>
  <si>
    <t>Soffel Nyamuk</t>
  </si>
  <si>
    <t>Susu Vidoran</t>
  </si>
  <si>
    <t>Warung</t>
  </si>
  <si>
    <t>Kaos Kaki Anak</t>
  </si>
  <si>
    <t>Anggur</t>
  </si>
  <si>
    <t>Kastok</t>
  </si>
  <si>
    <t>Hijab Masker</t>
  </si>
  <si>
    <t>Banyu Niur</t>
  </si>
  <si>
    <t>Banyu 2 galon</t>
  </si>
  <si>
    <t>Air</t>
  </si>
  <si>
    <t>Toko Galon</t>
  </si>
  <si>
    <t>Obat Abah Bodrek Flu Batuk</t>
  </si>
  <si>
    <t>Pale</t>
  </si>
  <si>
    <t>Molen</t>
  </si>
  <si>
    <t>Kecap ABC</t>
  </si>
  <si>
    <t>Indomie Banjar</t>
  </si>
  <si>
    <t>Cimory Yogurt</t>
  </si>
  <si>
    <t>MAMA</t>
  </si>
  <si>
    <t>ANAK</t>
  </si>
  <si>
    <t>15 Hari</t>
  </si>
  <si>
    <t>GAS 3 KG</t>
  </si>
  <si>
    <t>BERAS 5 KG</t>
  </si>
  <si>
    <t>TELUR 1 RAK</t>
  </si>
  <si>
    <t>Kodomo Odol</t>
  </si>
  <si>
    <t>MINYAK 2 LITER</t>
  </si>
  <si>
    <t>24 Hari</t>
  </si>
  <si>
    <t>30 Hari</t>
  </si>
  <si>
    <t>AYAM 2 POTONG</t>
  </si>
  <si>
    <t>7 Hari</t>
  </si>
  <si>
    <t>4 Hari</t>
  </si>
  <si>
    <t>AIR 2 GALON</t>
  </si>
  <si>
    <t>LISTRIK 200RB</t>
  </si>
  <si>
    <t>OLI MOTOR 3 BULAN SEKALI</t>
  </si>
  <si>
    <t>PAJAK KENDARAAN BERMOTOR 1TAHUN</t>
  </si>
  <si>
    <t>1 BULAN</t>
  </si>
  <si>
    <t>HARGA</t>
  </si>
  <si>
    <t>JARAK</t>
  </si>
  <si>
    <t>1/2 BULAN</t>
  </si>
  <si>
    <t>SUSU ANAK VIDORAN 925G</t>
  </si>
  <si>
    <t>SEBULAN</t>
  </si>
  <si>
    <t>6x</t>
  </si>
  <si>
    <t>TOTAL GAJI DAN TUNJANGAN</t>
  </si>
  <si>
    <t>PRIMER</t>
  </si>
  <si>
    <t xml:space="preserve">TABUNGAN </t>
  </si>
  <si>
    <t>PEMBULATAN</t>
  </si>
  <si>
    <t>JANGKA</t>
  </si>
  <si>
    <t>1 TAHUN</t>
  </si>
  <si>
    <t>3 BULAN</t>
  </si>
  <si>
    <t>PERBULAN</t>
  </si>
  <si>
    <t>BOTAK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</si>
</sst>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2" formatCode="_-&quot;Rp&quot;* #,##0_-;\-&quot;Rp&quot;* #,##0_-;_-&quot;Rp&quot;* &quot;-&quot;_-;_-@_-"/>
    <numFmt numFmtId="41" formatCode="_-* #,##0_-;\-* #,##0_-;_-* &quot;-&quot;_-;_-@_-"/>
    <numFmt numFmtId="164" formatCode="yyyy\-mm\-dd"/>
    <numFmt numFmtId="165" formatCode="_-&quot;Rp&quot;\.\ * #,##0_-;\-&quot;Rp&quot;* #,##0_-;_-&quot;Rp&quot;* &quot;-&quot;??_-;_-@_-"/>
    <numFmt numFmtId="166" formatCode="dd\ mmmm\ yy"/>
  </numFmts>
  <fonts count="30">
    <font>
      <sz val="10"/>
      <color rgb="FF000000"/>
      <name val="Arial"/>
      <scheme val="minor"/>
    </font>
    <font>
      <sz val="10"/>
      <color theme="1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rgb="FF000000"/>
      <name val="Montserrat"/>
    </font>
    <font>
      <sz val="12"/>
      <color rgb="FF000000"/>
      <name val="Montserrat"/>
      <charset val="1"/>
    </font>
    <font>
      <sz val="12"/>
      <name val="Montserrat"/>
      <charset val="1"/>
    </font>
    <font>
      <sz val="12"/>
      <color rgb="FF6AA84F"/>
      <name val="Montserrat"/>
      <charset val="1"/>
    </font>
    <font>
      <b/>
      <u/>
      <sz val="11"/>
      <color rgb="FFFFFFFF"/>
      <name val="Montserrat"/>
    </font>
    <font>
      <b/>
      <sz val="20"/>
      <color rgb="FF000000"/>
      <name val="Montserrat"/>
    </font>
    <font>
      <b/>
      <sz val="36"/>
      <color rgb="FF000000"/>
      <name val="Montserrat"/>
    </font>
    <font>
      <sz val="10"/>
      <color theme="1"/>
      <name val="Montserrat"/>
    </font>
    <font>
      <b/>
      <sz val="10"/>
      <color rgb="FFFFFFFF"/>
      <name val="Arial"/>
      <family val="2"/>
      <scheme val="minor"/>
    </font>
    <font>
      <b/>
      <sz val="10"/>
      <color theme="1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0"/>
      <color theme="0"/>
      <name val="Montserrat"/>
    </font>
    <font>
      <sz val="10"/>
      <color rgb="FF000000"/>
      <name val="Arial"/>
      <family val="2"/>
      <scheme val="minor"/>
    </font>
    <font>
      <b/>
      <sz val="11"/>
      <color theme="0"/>
      <name val="Montserrat"/>
    </font>
    <font>
      <b/>
      <sz val="11"/>
      <color theme="0"/>
      <name val="Calibri"/>
      <family val="2"/>
    </font>
    <font>
      <sz val="11"/>
      <color rgb="FF000000"/>
      <name val="Montserrat"/>
    </font>
    <font>
      <sz val="12"/>
      <color rgb="FF000000"/>
      <name val="Montserrat"/>
    </font>
    <font>
      <b/>
      <sz val="14"/>
      <color rgb="FF000000"/>
      <name val="Montserrat"/>
    </font>
    <font>
      <b/>
      <sz val="16"/>
      <color rgb="FF000000"/>
      <name val="Montserrat"/>
    </font>
    <font>
      <b/>
      <sz val="12"/>
      <color theme="0"/>
      <name val="Montserrat"/>
    </font>
    <font>
      <b/>
      <sz val="18"/>
      <color theme="0"/>
      <name val="Montserrat"/>
    </font>
    <font>
      <b/>
      <sz val="20"/>
      <color theme="0"/>
      <name val="Montserrat"/>
    </font>
    <font>
      <b/>
      <sz val="22"/>
      <color theme="0"/>
      <name val="Montserrat"/>
    </font>
    <font>
      <b/>
      <sz val="10"/>
      <color rgb="FF000000"/>
      <name val="Montserrat"/>
    </font>
    <font>
      <b/>
      <sz val="10"/>
      <color rgb="FF000000"/>
      <name val="Arial"/>
      <family val="2"/>
      <scheme val="minor"/>
    </font>
    <font>
      <b/>
      <sz val="12"/>
      <color rgb="FF000000"/>
      <name val="Montserrat"/>
    </font>
    <font>
      <b/>
      <sz val="12"/>
      <color theme="1"/>
      <name val="Montserrat"/>
    </font>
  </fonts>
  <fills count="3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EE99"/>
        <bgColor rgb="FF99EE99"/>
      </patternFill>
    </fill>
    <fill>
      <patternFill patternType="solid">
        <fgColor rgb="FFC7F6B6"/>
        <bgColor rgb="FFC7F6B6"/>
      </patternFill>
    </fill>
    <fill>
      <patternFill patternType="solid">
        <fgColor rgb="FFE2FAB5"/>
        <bgColor rgb="FFE2FAB5"/>
      </patternFill>
    </fill>
    <fill>
      <patternFill patternType="solid">
        <fgColor rgb="FFFFFCD1"/>
        <bgColor rgb="FFFFFCD1"/>
      </patternFill>
    </fill>
    <fill>
      <patternFill patternType="solid">
        <fgColor rgb="FFFFF9C2"/>
        <bgColor rgb="FFFFF9C2"/>
      </patternFill>
    </fill>
    <fill>
      <patternFill patternType="solid">
        <fgColor rgb="FFFFFCD1"/>
        <bgColor theme="7"/>
      </patternFill>
    </fill>
    <fill>
      <patternFill patternType="solid">
        <fgColor rgb="FF92D050"/>
        <bgColor theme="9"/>
      </patternFill>
    </fill>
    <fill>
      <patternFill patternType="solid">
        <fgColor rgb="FF00B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rgb="FF93C47D"/>
      </patternFill>
    </fill>
    <fill>
      <patternFill patternType="solid">
        <fgColor theme="0" tint="-4.9989318521683403E-2"/>
        <bgColor rgb="FF6AA84F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0"/>
        <bgColor rgb="FF93C47D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499984740745262"/>
        <bgColor indexed="64"/>
      </patternFill>
    </fill>
  </fills>
  <borders count="8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rgb="FFCCCCCC"/>
      </left>
      <right/>
      <top style="medium">
        <color rgb="FFB7B7B7"/>
      </top>
      <bottom style="thin">
        <color rgb="FFB7B7B7"/>
      </bottom>
      <diagonal/>
    </border>
    <border>
      <left/>
      <right/>
      <top style="medium">
        <color rgb="FFB7B7B7"/>
      </top>
      <bottom style="thin">
        <color rgb="FFB7B7B7"/>
      </bottom>
      <diagonal/>
    </border>
    <border>
      <left/>
      <right style="medium">
        <color rgb="FFCCCCCC"/>
      </right>
      <top style="medium">
        <color rgb="FFB7B7B7"/>
      </top>
      <bottom style="thin">
        <color rgb="FFB7B7B7"/>
      </bottom>
      <diagonal/>
    </border>
    <border>
      <left/>
      <right style="medium">
        <color rgb="FFB7B7B7"/>
      </right>
      <top style="medium">
        <color rgb="FFB7B7B7"/>
      </top>
      <bottom style="thin">
        <color rgb="FFB7B7B7"/>
      </bottom>
      <diagonal/>
    </border>
    <border>
      <left style="medium">
        <color rgb="FFCCCCCC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CCCCCC"/>
      </right>
      <top style="thin">
        <color rgb="FFB7B7B7"/>
      </top>
      <bottom style="thin">
        <color rgb="FFB7B7B7"/>
      </bottom>
      <diagonal/>
    </border>
    <border>
      <left/>
      <right style="thin">
        <color rgb="FFB7B7B7"/>
      </right>
      <top style="thin">
        <color rgb="FFB7B7B7"/>
      </top>
      <bottom style="thin">
        <color rgb="FFB7B7B7"/>
      </bottom>
      <diagonal/>
    </border>
    <border>
      <left style="thin">
        <color rgb="FFB7B7B7"/>
      </left>
      <right style="medium">
        <color rgb="FFB7B7B7"/>
      </right>
      <top style="thin">
        <color rgb="FFB7B7B7"/>
      </top>
      <bottom style="thin">
        <color rgb="FFB7B7B7"/>
      </bottom>
      <diagonal/>
    </border>
    <border>
      <left/>
      <right style="hair">
        <color rgb="FFB7B7B7"/>
      </right>
      <top/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hair">
        <color rgb="FFB7B7B7"/>
      </right>
      <top/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/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/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hair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hair">
        <color rgb="FFB7B7B7"/>
      </bottom>
      <diagonal/>
    </border>
    <border>
      <left/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CCCCCC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hair">
        <color rgb="FFB7B7B7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CCCCCC"/>
      </right>
      <top style="hair">
        <color rgb="FFB7B7B7"/>
      </top>
      <bottom style="medium">
        <color rgb="FFB7B7B7"/>
      </bottom>
      <diagonal/>
    </border>
    <border>
      <left style="hair">
        <color rgb="FFB7B7B7"/>
      </left>
      <right style="medium">
        <color rgb="FFB7B7B7"/>
      </right>
      <top style="hair">
        <color rgb="FFB7B7B7"/>
      </top>
      <bottom style="medium">
        <color rgb="FFB7B7B7"/>
      </bottom>
      <diagonal/>
    </border>
    <border>
      <left style="medium">
        <color rgb="FFB7B7B7"/>
      </left>
      <right/>
      <top style="thin">
        <color rgb="FFB7B7B7"/>
      </top>
      <bottom/>
      <diagonal/>
    </border>
    <border>
      <left style="medium">
        <color rgb="FFB7B7B7"/>
      </left>
      <right/>
      <top/>
      <bottom/>
      <diagonal/>
    </border>
    <border>
      <left style="medium">
        <color rgb="FFB7B7B7"/>
      </left>
      <right/>
      <top style="medium">
        <color rgb="FFB7B7B7"/>
      </top>
      <bottom/>
      <diagonal/>
    </border>
    <border>
      <left/>
      <right style="medium">
        <color rgb="FFCCCCCC"/>
      </right>
      <top style="medium">
        <color rgb="FFB7B7B7"/>
      </top>
      <bottom/>
      <diagonal/>
    </border>
    <border>
      <left style="medium">
        <color rgb="FFB7B7B7"/>
      </left>
      <right/>
      <top/>
      <bottom style="medium">
        <color rgb="FFB7B7B7"/>
      </bottom>
      <diagonal/>
    </border>
    <border>
      <left/>
      <right style="medium">
        <color rgb="FFCCCCCC"/>
      </right>
      <top/>
      <bottom style="medium">
        <color rgb="FFB7B7B7"/>
      </bottom>
      <diagonal/>
    </border>
    <border>
      <left style="thin">
        <color rgb="FF99EE99"/>
      </left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thin">
        <color rgb="FF99EE99"/>
      </left>
      <right/>
      <top style="thin">
        <color rgb="FF99EE99"/>
      </top>
      <bottom style="thin">
        <color rgb="FF99EE99"/>
      </bottom>
      <diagonal/>
    </border>
    <border>
      <left/>
      <right/>
      <top style="thin">
        <color rgb="FF99EE99"/>
      </top>
      <bottom style="thin">
        <color rgb="FF99EE99"/>
      </bottom>
      <diagonal/>
    </border>
    <border>
      <left/>
      <right style="thin">
        <color rgb="FF99EE99"/>
      </right>
      <top style="thin">
        <color rgb="FF99EE99"/>
      </top>
      <bottom style="thin">
        <color rgb="FF99EE99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4.9989318521683403E-2"/>
      </left>
      <right style="thin">
        <color theme="0" tint="-4.9989318521683403E-2"/>
      </right>
      <top/>
      <bottom style="thin">
        <color theme="0" tint="-4.9989318521683403E-2"/>
      </bottom>
      <diagonal/>
    </border>
    <border>
      <left style="thin">
        <color theme="0" tint="-0.14999847407452621"/>
      </left>
      <right/>
      <top/>
      <bottom/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0" tint="-0.14999847407452621"/>
      </left>
      <right/>
      <top/>
      <bottom style="thin">
        <color theme="0" tint="-0.14999847407452621"/>
      </bottom>
      <diagonal/>
    </border>
    <border>
      <left/>
      <right/>
      <top/>
      <bottom style="thin">
        <color theme="0" tint="-0.14999847407452621"/>
      </bottom>
      <diagonal/>
    </border>
    <border>
      <left/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indexed="64"/>
      </left>
      <right/>
      <top style="thin">
        <color indexed="64"/>
      </top>
      <bottom style="thin">
        <color theme="0" tint="-0.14999847407452621"/>
      </bottom>
      <diagonal/>
    </border>
    <border>
      <left/>
      <right/>
      <top style="thin">
        <color indexed="64"/>
      </top>
      <bottom style="thin">
        <color theme="0" tint="-0.1499984740745262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14999847407452621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 style="thin">
        <color indexed="64"/>
      </right>
      <top style="thin">
        <color theme="0" tint="-0.14999847407452621"/>
      </top>
      <bottom style="thin">
        <color indexed="64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indexed="64"/>
      </bottom>
      <diagonal/>
    </border>
    <border>
      <left style="thin">
        <color indexed="64"/>
      </left>
      <right style="thin">
        <color theme="0" tint="-0.14999847407452621"/>
      </right>
      <top style="thin">
        <color theme="0" tint="-0.14999847407452621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3" fillId="0" borderId="0" applyNumberFormat="0" applyFill="0" applyBorder="0" applyAlignment="0" applyProtection="0"/>
  </cellStyleXfs>
  <cellXfs count="305">
    <xf numFmtId="0" fontId="0" fillId="0" borderId="0" xfId="0" applyFont="1" applyAlignment="1"/>
    <xf numFmtId="3" fontId="0" fillId="0" borderId="0" xfId="0" applyNumberFormat="1" applyFont="1" applyAlignment="1"/>
    <xf numFmtId="0" fontId="2" fillId="0" borderId="0" xfId="0" applyFont="1" applyAlignment="1"/>
    <xf numFmtId="0" fontId="4" fillId="0" borderId="0" xfId="0" applyFont="1" applyFill="1" applyBorder="1"/>
    <xf numFmtId="0" fontId="4" fillId="0" borderId="36" xfId="0" applyFont="1" applyFill="1" applyBorder="1" applyAlignment="1">
      <alignment vertical="center"/>
    </xf>
    <xf numFmtId="0" fontId="5" fillId="0" borderId="37" xfId="0" applyFont="1" applyFill="1" applyBorder="1" applyAlignment="1"/>
    <xf numFmtId="0" fontId="4" fillId="3" borderId="14" xfId="0" applyFont="1" applyFill="1" applyBorder="1" applyAlignment="1">
      <alignment horizontal="center" vertical="center"/>
    </xf>
    <xf numFmtId="0" fontId="4" fillId="3" borderId="15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center" vertical="center"/>
    </xf>
    <xf numFmtId="0" fontId="4" fillId="4" borderId="17" xfId="0" applyFont="1" applyFill="1" applyBorder="1" applyAlignment="1">
      <alignment horizontal="center" vertical="center"/>
    </xf>
    <xf numFmtId="0" fontId="4" fillId="4" borderId="15" xfId="0" applyFont="1" applyFill="1" applyBorder="1" applyAlignment="1">
      <alignment horizontal="center" vertical="center"/>
    </xf>
    <xf numFmtId="0" fontId="4" fillId="4" borderId="16" xfId="0" applyFon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4" fillId="5" borderId="15" xfId="0" applyFont="1" applyFill="1" applyBorder="1" applyAlignment="1">
      <alignment horizontal="center" vertical="center"/>
    </xf>
    <xf numFmtId="0" fontId="4" fillId="5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4" fillId="6" borderId="15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7" borderId="17" xfId="0" applyFont="1" applyFill="1" applyBorder="1" applyAlignment="1">
      <alignment horizontal="center" vertical="center"/>
    </xf>
    <xf numFmtId="0" fontId="4" fillId="7" borderId="15" xfId="0" applyFont="1" applyFill="1" applyBorder="1" applyAlignment="1">
      <alignment horizontal="center" vertical="center"/>
    </xf>
    <xf numFmtId="0" fontId="4" fillId="7" borderId="18" xfId="0" applyFont="1" applyFill="1" applyBorder="1" applyAlignment="1">
      <alignment horizontal="center" vertical="center"/>
    </xf>
    <xf numFmtId="0" fontId="4" fillId="0" borderId="34" xfId="0" applyFont="1" applyFill="1" applyBorder="1" applyAlignment="1"/>
    <xf numFmtId="0" fontId="4" fillId="0" borderId="1" xfId="0" applyFont="1" applyBorder="1" applyAlignment="1">
      <alignment horizontal="center"/>
    </xf>
    <xf numFmtId="0" fontId="6" fillId="0" borderId="20" xfId="0" applyFont="1" applyFill="1" applyBorder="1" applyAlignment="1">
      <alignment horizontal="center"/>
    </xf>
    <xf numFmtId="0" fontId="6" fillId="0" borderId="21" xfId="0" applyFont="1" applyFill="1" applyBorder="1" applyAlignment="1">
      <alignment horizontal="center"/>
    </xf>
    <xf numFmtId="0" fontId="6" fillId="0" borderId="22" xfId="0" applyFont="1" applyFill="1" applyBorder="1" applyAlignment="1">
      <alignment horizontal="center"/>
    </xf>
    <xf numFmtId="0" fontId="6" fillId="0" borderId="19" xfId="0" applyFont="1" applyFill="1" applyBorder="1" applyAlignment="1">
      <alignment horizontal="center"/>
    </xf>
    <xf numFmtId="0" fontId="6" fillId="0" borderId="23" xfId="0" applyFont="1" applyFill="1" applyBorder="1" applyAlignment="1">
      <alignment horizontal="center"/>
    </xf>
    <xf numFmtId="0" fontId="4" fillId="0" borderId="35" xfId="0" applyFont="1" applyFill="1" applyBorder="1" applyAlignment="1"/>
    <xf numFmtId="0" fontId="6" fillId="0" borderId="25" xfId="0" applyFont="1" applyFill="1" applyBorder="1" applyAlignment="1">
      <alignment horizontal="center"/>
    </xf>
    <xf numFmtId="0" fontId="6" fillId="0" borderId="26" xfId="0" applyFont="1" applyFill="1" applyBorder="1" applyAlignment="1">
      <alignment horizontal="center"/>
    </xf>
    <xf numFmtId="0" fontId="6" fillId="0" borderId="27" xfId="0" applyFont="1" applyFill="1" applyBorder="1" applyAlignment="1">
      <alignment horizontal="center"/>
    </xf>
    <xf numFmtId="0" fontId="6" fillId="0" borderId="24" xfId="0" applyFont="1" applyFill="1" applyBorder="1" applyAlignment="1">
      <alignment horizontal="center"/>
    </xf>
    <xf numFmtId="0" fontId="6" fillId="0" borderId="28" xfId="0" applyFont="1" applyFill="1" applyBorder="1" applyAlignment="1">
      <alignment horizontal="center"/>
    </xf>
    <xf numFmtId="0" fontId="4" fillId="0" borderId="38" xfId="0" applyFont="1" applyFill="1" applyBorder="1" applyAlignment="1"/>
    <xf numFmtId="0" fontId="4" fillId="0" borderId="39" xfId="0" applyFont="1" applyFill="1" applyBorder="1" applyAlignment="1"/>
    <xf numFmtId="0" fontId="6" fillId="0" borderId="30" xfId="0" applyFont="1" applyFill="1" applyBorder="1" applyAlignment="1">
      <alignment horizontal="center"/>
    </xf>
    <xf numFmtId="0" fontId="6" fillId="0" borderId="31" xfId="0" applyFont="1" applyFill="1" applyBorder="1" applyAlignment="1">
      <alignment horizontal="center"/>
    </xf>
    <xf numFmtId="0" fontId="6" fillId="0" borderId="32" xfId="0" applyFont="1" applyFill="1" applyBorder="1" applyAlignment="1">
      <alignment horizontal="center"/>
    </xf>
    <xf numFmtId="0" fontId="6" fillId="0" borderId="29" xfId="0" applyFont="1" applyFill="1" applyBorder="1" applyAlignment="1">
      <alignment horizontal="center"/>
    </xf>
    <xf numFmtId="0" fontId="6" fillId="0" borderId="33" xfId="0" applyFont="1" applyFill="1" applyBorder="1" applyAlignment="1">
      <alignment horizontal="center"/>
    </xf>
    <xf numFmtId="0" fontId="3" fillId="0" borderId="0" xfId="0" applyFont="1" applyAlignment="1"/>
    <xf numFmtId="0" fontId="3" fillId="0" borderId="0" xfId="0" applyFont="1" applyFill="1" applyBorder="1" applyAlignment="1">
      <alignment horizontal="center"/>
    </xf>
    <xf numFmtId="0" fontId="3" fillId="0" borderId="0" xfId="0" applyFont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3" fontId="3" fillId="0" borderId="1" xfId="0" applyNumberFormat="1" applyFont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3" fontId="10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1" xfId="0" applyFont="1" applyBorder="1" applyAlignment="1"/>
    <xf numFmtId="3" fontId="3" fillId="0" borderId="1" xfId="0" applyNumberFormat="1" applyFont="1" applyBorder="1" applyAlignment="1"/>
    <xf numFmtId="0" fontId="3" fillId="2" borderId="1" xfId="0" applyFont="1" applyFill="1" applyBorder="1" applyAlignment="1"/>
    <xf numFmtId="3" fontId="3" fillId="2" borderId="1" xfId="0" applyNumberFormat="1" applyFont="1" applyFill="1" applyBorder="1" applyAlignment="1"/>
    <xf numFmtId="3" fontId="3" fillId="0" borderId="0" xfId="0" applyNumberFormat="1" applyFont="1" applyAlignment="1"/>
    <xf numFmtId="0" fontId="3" fillId="0" borderId="0" xfId="0" applyFont="1" applyAlignment="1">
      <alignment horizontal="center"/>
    </xf>
    <xf numFmtId="164" fontId="1" fillId="8" borderId="40" xfId="0" applyNumberFormat="1" applyFont="1" applyFill="1" applyBorder="1" applyAlignment="1">
      <alignment horizontal="center" vertical="center"/>
    </xf>
    <xf numFmtId="0" fontId="1" fillId="8" borderId="40" xfId="0" applyFont="1" applyFill="1" applyBorder="1" applyAlignment="1">
      <alignment horizontal="center" vertical="center"/>
    </xf>
    <xf numFmtId="0" fontId="11" fillId="9" borderId="40" xfId="0" applyFont="1" applyFill="1" applyBorder="1" applyAlignment="1">
      <alignment horizontal="center"/>
    </xf>
    <xf numFmtId="22" fontId="1" fillId="8" borderId="40" xfId="0" applyNumberFormat="1" applyFont="1" applyFill="1" applyBorder="1" applyAlignment="1">
      <alignment horizontal="center" vertical="center"/>
    </xf>
    <xf numFmtId="3" fontId="1" fillId="8" borderId="40" xfId="0" applyNumberFormat="1" applyFont="1" applyFill="1" applyBorder="1" applyAlignment="1">
      <alignment horizontal="center" vertical="center"/>
    </xf>
    <xf numFmtId="0" fontId="14" fillId="10" borderId="0" xfId="0" applyFont="1" applyFill="1" applyAlignment="1"/>
    <xf numFmtId="0" fontId="15" fillId="0" borderId="46" xfId="0" applyFont="1" applyBorder="1" applyAlignment="1"/>
    <xf numFmtId="0" fontId="15" fillId="0" borderId="47" xfId="0" applyFont="1" applyBorder="1" applyAlignment="1"/>
    <xf numFmtId="0" fontId="15" fillId="0" borderId="48" xfId="0" applyFont="1" applyBorder="1" applyAlignment="1"/>
    <xf numFmtId="0" fontId="15" fillId="0" borderId="49" xfId="0" applyFont="1" applyBorder="1" applyAlignment="1"/>
    <xf numFmtId="0" fontId="0" fillId="11" borderId="50" xfId="0" applyFont="1" applyFill="1" applyBorder="1" applyAlignment="1"/>
    <xf numFmtId="0" fontId="0" fillId="11" borderId="51" xfId="0" applyFont="1" applyFill="1" applyBorder="1" applyAlignment="1"/>
    <xf numFmtId="0" fontId="0" fillId="11" borderId="52" xfId="0" applyFont="1" applyFill="1" applyBorder="1" applyAlignment="1"/>
    <xf numFmtId="0" fontId="0" fillId="11" borderId="53" xfId="0" applyFont="1" applyFill="1" applyBorder="1" applyAlignment="1"/>
    <xf numFmtId="0" fontId="3" fillId="0" borderId="0" xfId="0" applyFont="1" applyFill="1" applyBorder="1" applyAlignment="1"/>
    <xf numFmtId="0" fontId="3" fillId="0" borderId="0" xfId="0" applyFont="1" applyAlignment="1">
      <alignment horizontal="center"/>
    </xf>
    <xf numFmtId="0" fontId="15" fillId="11" borderId="51" xfId="0" applyFont="1" applyFill="1" applyBorder="1" applyAlignment="1"/>
    <xf numFmtId="0" fontId="3" fillId="0" borderId="0" xfId="0" applyFont="1" applyAlignment="1">
      <alignment horizontal="center"/>
    </xf>
    <xf numFmtId="0" fontId="3" fillId="0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Fill="1" applyAlignment="1"/>
    <xf numFmtId="0" fontId="3" fillId="11" borderId="0" xfId="0" applyFont="1" applyFill="1" applyBorder="1"/>
    <xf numFmtId="0" fontId="3" fillId="11" borderId="0" xfId="0" applyFont="1" applyFill="1" applyAlignment="1"/>
    <xf numFmtId="0" fontId="3" fillId="11" borderId="0" xfId="0" applyFont="1" applyFill="1" applyBorder="1" applyAlignment="1">
      <alignment horizontal="center"/>
    </xf>
    <xf numFmtId="0" fontId="13" fillId="11" borderId="0" xfId="1" applyFill="1" applyBorder="1" applyAlignment="1"/>
    <xf numFmtId="0" fontId="3" fillId="12" borderId="0" xfId="0" applyFont="1" applyFill="1" applyBorder="1"/>
    <xf numFmtId="0" fontId="15" fillId="0" borderId="0" xfId="0" applyFont="1" applyAlignment="1"/>
    <xf numFmtId="0" fontId="3" fillId="11" borderId="0" xfId="0" applyFont="1" applyFill="1" applyBorder="1" applyAlignment="1"/>
    <xf numFmtId="0" fontId="3" fillId="17" borderId="0" xfId="0" applyFont="1" applyFill="1" applyBorder="1" applyAlignment="1">
      <alignment horizontal="center"/>
    </xf>
    <xf numFmtId="0" fontId="3" fillId="17" borderId="0" xfId="0" applyFont="1" applyFill="1" applyAlignment="1"/>
    <xf numFmtId="0" fontId="3" fillId="17" borderId="0" xfId="0" applyFont="1" applyFill="1" applyBorder="1" applyAlignment="1"/>
    <xf numFmtId="0" fontId="16" fillId="15" borderId="0" xfId="0" applyFont="1" applyFill="1" applyBorder="1" applyAlignment="1">
      <alignment horizontal="center"/>
    </xf>
    <xf numFmtId="0" fontId="20" fillId="14" borderId="54" xfId="0" applyFont="1" applyFill="1" applyBorder="1" applyAlignment="1"/>
    <xf numFmtId="9" fontId="19" fillId="14" borderId="54" xfId="0" applyNumberFormat="1" applyFont="1" applyFill="1" applyBorder="1" applyAlignment="1"/>
    <xf numFmtId="0" fontId="21" fillId="14" borderId="57" xfId="0" applyFont="1" applyFill="1" applyBorder="1" applyAlignment="1">
      <alignment horizontal="right"/>
    </xf>
    <xf numFmtId="0" fontId="20" fillId="18" borderId="54" xfId="0" applyFont="1" applyFill="1" applyBorder="1" applyAlignment="1"/>
    <xf numFmtId="0" fontId="21" fillId="18" borderId="57" xfId="0" applyFont="1" applyFill="1" applyBorder="1" applyAlignment="1">
      <alignment horizontal="right"/>
    </xf>
    <xf numFmtId="9" fontId="19" fillId="18" borderId="54" xfId="0" applyNumberFormat="1" applyFont="1" applyFill="1" applyBorder="1" applyAlignment="1"/>
    <xf numFmtId="0" fontId="3" fillId="0" borderId="1" xfId="0" applyFont="1" applyBorder="1" applyAlignment="1">
      <alignment horizontal="center"/>
    </xf>
    <xf numFmtId="0" fontId="14" fillId="14" borderId="0" xfId="0" applyFont="1" applyFill="1" applyAlignment="1"/>
    <xf numFmtId="0" fontId="14" fillId="10" borderId="0" xfId="0" applyFont="1" applyFill="1" applyAlignment="1">
      <alignment vertical="center" wrapText="1"/>
    </xf>
    <xf numFmtId="0" fontId="16" fillId="10" borderId="0" xfId="0" applyFont="1" applyFill="1" applyAlignment="1">
      <alignment vertical="center"/>
    </xf>
    <xf numFmtId="0" fontId="22" fillId="10" borderId="0" xfId="0" applyFont="1" applyFill="1" applyAlignment="1">
      <alignment vertical="center"/>
    </xf>
    <xf numFmtId="0" fontId="3" fillId="0" borderId="0" xfId="0" applyFont="1" applyBorder="1" applyAlignment="1">
      <alignment horizontal="center"/>
    </xf>
    <xf numFmtId="3" fontId="3" fillId="0" borderId="0" xfId="0" applyNumberFormat="1" applyFont="1" applyBorder="1" applyAlignment="1">
      <alignment horizontal="center"/>
    </xf>
    <xf numFmtId="3" fontId="10" fillId="2" borderId="0" xfId="0" applyNumberFormat="1" applyFont="1" applyFill="1" applyBorder="1" applyAlignment="1">
      <alignment horizontal="center"/>
    </xf>
    <xf numFmtId="3" fontId="3" fillId="0" borderId="0" xfId="0" applyNumberFormat="1" applyFont="1" applyBorder="1" applyAlignment="1"/>
    <xf numFmtId="3" fontId="3" fillId="2" borderId="0" xfId="0" applyNumberFormat="1" applyFont="1" applyFill="1" applyBorder="1" applyAlignment="1"/>
    <xf numFmtId="0" fontId="25" fillId="16" borderId="0" xfId="0" applyFont="1" applyFill="1" applyBorder="1" applyAlignment="1"/>
    <xf numFmtId="0" fontId="16" fillId="15" borderId="0" xfId="0" applyFont="1" applyFill="1" applyBorder="1" applyAlignment="1"/>
    <xf numFmtId="0" fontId="13" fillId="21" borderId="0" xfId="1" applyFill="1" applyBorder="1" applyAlignment="1"/>
    <xf numFmtId="0" fontId="13" fillId="17" borderId="0" xfId="1" applyFill="1" applyBorder="1" applyAlignment="1"/>
    <xf numFmtId="0" fontId="21" fillId="14" borderId="58" xfId="0" applyFont="1" applyFill="1" applyBorder="1" applyAlignment="1">
      <alignment horizontal="right"/>
    </xf>
    <xf numFmtId="0" fontId="18" fillId="18" borderId="59" xfId="0" applyFont="1" applyFill="1" applyBorder="1" applyAlignment="1">
      <alignment horizontal="right"/>
    </xf>
    <xf numFmtId="0" fontId="18" fillId="14" borderId="59" xfId="0" applyFont="1" applyFill="1" applyBorder="1" applyAlignment="1">
      <alignment horizontal="right"/>
    </xf>
    <xf numFmtId="0" fontId="3" fillId="17" borderId="0" xfId="0" applyFont="1" applyFill="1" applyBorder="1"/>
    <xf numFmtId="0" fontId="3" fillId="17" borderId="55" xfId="0" applyFont="1" applyFill="1" applyBorder="1" applyAlignment="1"/>
    <xf numFmtId="0" fontId="27" fillId="0" borderId="0" xfId="0" applyFont="1" applyAlignment="1">
      <alignment horizontal="center" vertical="center" wrapText="1"/>
    </xf>
    <xf numFmtId="0" fontId="15" fillId="0" borderId="0" xfId="0" applyFont="1" applyAlignment="1">
      <alignment vertical="center" wrapText="1"/>
    </xf>
    <xf numFmtId="0" fontId="20" fillId="11" borderId="0" xfId="0" applyFont="1" applyFill="1" applyBorder="1" applyAlignment="1"/>
    <xf numFmtId="9" fontId="19" fillId="11" borderId="0" xfId="0" applyNumberFormat="1" applyFont="1" applyFill="1" applyBorder="1" applyAlignment="1"/>
    <xf numFmtId="0" fontId="3" fillId="17" borderId="60" xfId="0" applyFont="1" applyFill="1" applyBorder="1" applyAlignment="1"/>
    <xf numFmtId="0" fontId="3" fillId="17" borderId="61" xfId="0" applyFont="1" applyFill="1" applyBorder="1" applyAlignment="1"/>
    <xf numFmtId="0" fontId="3" fillId="17" borderId="62" xfId="0" applyFont="1" applyFill="1" applyBorder="1" applyAlignment="1"/>
    <xf numFmtId="0" fontId="3" fillId="17" borderId="63" xfId="0" applyFont="1" applyFill="1" applyBorder="1" applyAlignment="1"/>
    <xf numFmtId="0" fontId="22" fillId="22" borderId="65" xfId="0" applyFont="1" applyFill="1" applyBorder="1" applyAlignment="1">
      <alignment vertical="center"/>
    </xf>
    <xf numFmtId="0" fontId="26" fillId="22" borderId="65" xfId="0" applyFont="1" applyFill="1" applyBorder="1" applyAlignment="1">
      <alignment horizontal="left" vertical="center"/>
    </xf>
    <xf numFmtId="0" fontId="13" fillId="21" borderId="63" xfId="1" applyFill="1" applyBorder="1" applyAlignment="1"/>
    <xf numFmtId="0" fontId="13" fillId="17" borderId="66" xfId="1" applyFill="1" applyBorder="1" applyAlignment="1"/>
    <xf numFmtId="0" fontId="3" fillId="0" borderId="64" xfId="0" applyFont="1" applyFill="1" applyBorder="1" applyAlignment="1">
      <alignment horizontal="center"/>
    </xf>
    <xf numFmtId="0" fontId="3" fillId="17" borderId="61" xfId="0" applyFont="1" applyFill="1" applyBorder="1" applyAlignment="1">
      <alignment horizontal="center"/>
    </xf>
    <xf numFmtId="0" fontId="3" fillId="17" borderId="64" xfId="0" applyFont="1" applyFill="1" applyBorder="1" applyAlignment="1"/>
    <xf numFmtId="0" fontId="22" fillId="17" borderId="64" xfId="0" applyFont="1" applyFill="1" applyBorder="1" applyAlignment="1">
      <alignment vertical="center"/>
    </xf>
    <xf numFmtId="0" fontId="3" fillId="17" borderId="67" xfId="0" applyFont="1" applyFill="1" applyBorder="1" applyAlignment="1"/>
    <xf numFmtId="0" fontId="3" fillId="17" borderId="68" xfId="0" applyFont="1" applyFill="1" applyBorder="1" applyAlignment="1"/>
    <xf numFmtId="0" fontId="3" fillId="17" borderId="69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14" fontId="19" fillId="22" borderId="65" xfId="0" applyNumberFormat="1" applyFont="1" applyFill="1" applyBorder="1" applyAlignment="1">
      <alignment horizontal="center" vertical="center"/>
    </xf>
    <xf numFmtId="165" fontId="21" fillId="22" borderId="65" xfId="0" applyNumberFormat="1" applyFont="1" applyFill="1" applyBorder="1" applyAlignment="1">
      <alignment horizontal="right"/>
    </xf>
    <xf numFmtId="0" fontId="19" fillId="22" borderId="65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6" fillId="22" borderId="73" xfId="0" applyFont="1" applyFill="1" applyBorder="1" applyAlignment="1">
      <alignment horizontal="left" vertical="center"/>
    </xf>
    <xf numFmtId="0" fontId="26" fillId="22" borderId="74" xfId="0" applyFont="1" applyFill="1" applyBorder="1" applyAlignment="1">
      <alignment horizontal="left" vertical="center"/>
    </xf>
    <xf numFmtId="0" fontId="20" fillId="17" borderId="0" xfId="0" applyFont="1" applyFill="1" applyBorder="1" applyAlignment="1"/>
    <xf numFmtId="0" fontId="21" fillId="17" borderId="0" xfId="0" applyFont="1" applyFill="1" applyBorder="1" applyAlignment="1">
      <alignment horizontal="right"/>
    </xf>
    <xf numFmtId="9" fontId="19" fillId="17" borderId="0" xfId="0" applyNumberFormat="1" applyFont="1" applyFill="1" applyBorder="1" applyAlignment="1"/>
    <xf numFmtId="0" fontId="18" fillId="17" borderId="0" xfId="0" applyFont="1" applyFill="1" applyBorder="1" applyAlignment="1">
      <alignment horizontal="right"/>
    </xf>
    <xf numFmtId="14" fontId="10" fillId="2" borderId="1" xfId="0" applyNumberFormat="1" applyFont="1" applyFill="1" applyBorder="1" applyAlignment="1">
      <alignment horizontal="center"/>
    </xf>
    <xf numFmtId="15" fontId="3" fillId="2" borderId="1" xfId="0" applyNumberFormat="1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13" fillId="17" borderId="63" xfId="1" applyFill="1" applyBorder="1" applyAlignment="1"/>
    <xf numFmtId="0" fontId="3" fillId="17" borderId="63" xfId="0" applyFont="1" applyFill="1" applyBorder="1" applyAlignment="1"/>
    <xf numFmtId="0" fontId="3" fillId="0" borderId="64" xfId="0" applyFont="1" applyBorder="1" applyAlignment="1"/>
    <xf numFmtId="0" fontId="3" fillId="0" borderId="68" xfId="0" applyFont="1" applyBorder="1" applyAlignment="1"/>
    <xf numFmtId="0" fontId="3" fillId="0" borderId="69" xfId="0" applyFont="1" applyBorder="1" applyAlignment="1"/>
    <xf numFmtId="0" fontId="28" fillId="22" borderId="65" xfId="0" applyFont="1" applyFill="1" applyBorder="1" applyAlignment="1">
      <alignment horizontal="center" vertical="center"/>
    </xf>
    <xf numFmtId="166" fontId="28" fillId="22" borderId="73" xfId="0" applyNumberFormat="1" applyFont="1" applyFill="1" applyBorder="1" applyAlignment="1">
      <alignment horizontal="left" vertical="center"/>
    </xf>
    <xf numFmtId="42" fontId="28" fillId="22" borderId="65" xfId="0" applyNumberFormat="1" applyFont="1" applyFill="1" applyBorder="1" applyAlignment="1">
      <alignment horizontal="left" vertical="center"/>
    </xf>
    <xf numFmtId="0" fontId="28" fillId="22" borderId="74" xfId="0" applyFont="1" applyFill="1" applyBorder="1" applyAlignment="1">
      <alignment horizontal="left" vertical="center"/>
    </xf>
    <xf numFmtId="165" fontId="28" fillId="22" borderId="65" xfId="0" applyNumberFormat="1" applyFont="1" applyFill="1" applyBorder="1" applyAlignment="1">
      <alignment horizontal="right"/>
    </xf>
    <xf numFmtId="165" fontId="28" fillId="22" borderId="75" xfId="0" applyNumberFormat="1" applyFont="1" applyFill="1" applyBorder="1" applyAlignment="1">
      <alignment horizontal="right"/>
    </xf>
    <xf numFmtId="42" fontId="28" fillId="22" borderId="75" xfId="0" applyNumberFormat="1" applyFont="1" applyFill="1" applyBorder="1" applyAlignment="1">
      <alignment horizontal="left" vertical="center"/>
    </xf>
    <xf numFmtId="0" fontId="28" fillId="22" borderId="76" xfId="0" applyFont="1" applyFill="1" applyBorder="1" applyAlignment="1">
      <alignment horizontal="left" vertical="center"/>
    </xf>
    <xf numFmtId="0" fontId="22" fillId="11" borderId="0" xfId="0" applyFont="1" applyFill="1" applyBorder="1" applyAlignment="1">
      <alignment vertical="center"/>
    </xf>
    <xf numFmtId="0" fontId="3" fillId="11" borderId="0" xfId="0" applyFont="1" applyFill="1" applyBorder="1" applyAlignment="1"/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17" borderId="0" xfId="0" applyFont="1" applyFill="1" applyBorder="1" applyAlignment="1"/>
    <xf numFmtId="0" fontId="28" fillId="22" borderId="77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0" fontId="3" fillId="17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165" fontId="28" fillId="22" borderId="65" xfId="0" applyNumberFormat="1" applyFont="1" applyFill="1" applyBorder="1" applyAlignment="1">
      <alignment horizontal="center"/>
    </xf>
    <xf numFmtId="166" fontId="28" fillId="22" borderId="73" xfId="0" applyNumberFormat="1" applyFont="1" applyFill="1" applyBorder="1" applyAlignment="1">
      <alignment horizontal="center" vertical="center"/>
    </xf>
    <xf numFmtId="42" fontId="28" fillId="22" borderId="65" xfId="0" applyNumberFormat="1" applyFont="1" applyFill="1" applyBorder="1" applyAlignment="1">
      <alignment horizontal="center" vertical="center"/>
    </xf>
    <xf numFmtId="0" fontId="28" fillId="22" borderId="74" xfId="0" applyFont="1" applyFill="1" applyBorder="1" applyAlignment="1">
      <alignment horizontal="center" vertical="center"/>
    </xf>
    <xf numFmtId="165" fontId="28" fillId="22" borderId="77" xfId="0" applyNumberFormat="1" applyFont="1" applyFill="1" applyBorder="1" applyAlignment="1">
      <alignment horizontal="center"/>
    </xf>
    <xf numFmtId="0" fontId="22" fillId="22" borderId="65" xfId="0" applyFont="1" applyFill="1" applyBorder="1" applyAlignment="1">
      <alignment horizontal="center" vertical="center"/>
    </xf>
    <xf numFmtId="0" fontId="22" fillId="22" borderId="77" xfId="0" applyFont="1" applyFill="1" applyBorder="1" applyAlignment="1">
      <alignment horizontal="center" vertical="center"/>
    </xf>
    <xf numFmtId="165" fontId="28" fillId="22" borderId="75" xfId="0" applyNumberFormat="1" applyFont="1" applyFill="1" applyBorder="1" applyAlignment="1">
      <alignment horizontal="center"/>
    </xf>
    <xf numFmtId="42" fontId="28" fillId="22" borderId="75" xfId="0" applyNumberFormat="1" applyFont="1" applyFill="1" applyBorder="1" applyAlignment="1">
      <alignment horizontal="center" vertical="center"/>
    </xf>
    <xf numFmtId="165" fontId="28" fillId="22" borderId="78" xfId="0" applyNumberFormat="1" applyFont="1" applyFill="1" applyBorder="1" applyAlignment="1">
      <alignment horizontal="center"/>
    </xf>
    <xf numFmtId="0" fontId="28" fillId="22" borderId="76" xfId="0" applyFont="1" applyFill="1" applyBorder="1" applyAlignment="1">
      <alignment horizontal="center" vertical="center"/>
    </xf>
    <xf numFmtId="0" fontId="3" fillId="11" borderId="0" xfId="0" applyFont="1" applyFill="1" applyBorder="1" applyAlignment="1"/>
    <xf numFmtId="165" fontId="28" fillId="22" borderId="79" xfId="0" applyNumberFormat="1" applyFont="1" applyFill="1" applyBorder="1" applyAlignment="1">
      <alignment horizontal="center"/>
    </xf>
    <xf numFmtId="0" fontId="7" fillId="12" borderId="61" xfId="0" applyFont="1" applyFill="1" applyBorder="1" applyAlignment="1"/>
    <xf numFmtId="41" fontId="21" fillId="18" borderId="57" xfId="0" applyNumberFormat="1" applyFont="1" applyFill="1" applyBorder="1" applyAlignment="1">
      <alignment horizontal="right"/>
    </xf>
    <xf numFmtId="0" fontId="15" fillId="0" borderId="1" xfId="0" applyFont="1" applyBorder="1" applyAlignment="1"/>
    <xf numFmtId="3" fontId="0" fillId="0" borderId="1" xfId="0" applyNumberFormat="1" applyFont="1" applyBorder="1" applyAlignment="1"/>
    <xf numFmtId="0" fontId="3" fillId="0" borderId="1" xfId="0" applyFont="1" applyBorder="1" applyAlignment="1">
      <alignment horizontal="center"/>
    </xf>
    <xf numFmtId="0" fontId="3" fillId="11" borderId="0" xfId="0" applyFont="1" applyFill="1" applyBorder="1" applyAlignment="1"/>
    <xf numFmtId="0" fontId="3" fillId="17" borderId="63" xfId="0" applyFont="1" applyFill="1" applyBorder="1" applyAlignment="1"/>
    <xf numFmtId="0" fontId="3" fillId="17" borderId="0" xfId="0" applyFont="1" applyFill="1" applyBorder="1" applyAlignment="1"/>
    <xf numFmtId="0" fontId="20" fillId="23" borderId="54" xfId="0" applyFont="1" applyFill="1" applyBorder="1" applyAlignment="1"/>
    <xf numFmtId="9" fontId="19" fillId="23" borderId="54" xfId="0" applyNumberFormat="1" applyFont="1" applyFill="1" applyBorder="1" applyAlignment="1"/>
    <xf numFmtId="0" fontId="18" fillId="23" borderId="59" xfId="0" applyFont="1" applyFill="1" applyBorder="1" applyAlignment="1">
      <alignment horizontal="right"/>
    </xf>
    <xf numFmtId="0" fontId="20" fillId="25" borderId="54" xfId="0" applyFont="1" applyFill="1" applyBorder="1" applyAlignment="1"/>
    <xf numFmtId="9" fontId="19" fillId="25" borderId="54" xfId="0" applyNumberFormat="1" applyFont="1" applyFill="1" applyBorder="1" applyAlignment="1"/>
    <xf numFmtId="0" fontId="18" fillId="25" borderId="59" xfId="0" applyFont="1" applyFill="1" applyBorder="1" applyAlignment="1">
      <alignment horizontal="right"/>
    </xf>
    <xf numFmtId="0" fontId="20" fillId="27" borderId="54" xfId="0" applyFont="1" applyFill="1" applyBorder="1" applyAlignment="1"/>
    <xf numFmtId="9" fontId="19" fillId="27" borderId="54" xfId="0" applyNumberFormat="1" applyFont="1" applyFill="1" applyBorder="1" applyAlignment="1"/>
    <xf numFmtId="0" fontId="18" fillId="27" borderId="59" xfId="0" applyFont="1" applyFill="1" applyBorder="1" applyAlignment="1">
      <alignment horizontal="right"/>
    </xf>
    <xf numFmtId="0" fontId="20" fillId="29" borderId="54" xfId="0" applyFont="1" applyFill="1" applyBorder="1" applyAlignment="1"/>
    <xf numFmtId="9" fontId="19" fillId="29" borderId="54" xfId="0" applyNumberFormat="1" applyFont="1" applyFill="1" applyBorder="1" applyAlignment="1"/>
    <xf numFmtId="0" fontId="18" fillId="29" borderId="59" xfId="0" applyFont="1" applyFill="1" applyBorder="1" applyAlignment="1">
      <alignment horizontal="right"/>
    </xf>
    <xf numFmtId="3" fontId="21" fillId="14" borderId="58" xfId="0" applyNumberFormat="1" applyFont="1" applyFill="1" applyBorder="1" applyAlignment="1">
      <alignment horizontal="right"/>
    </xf>
    <xf numFmtId="3" fontId="21" fillId="18" borderId="57" xfId="0" applyNumberFormat="1" applyFont="1" applyFill="1" applyBorder="1" applyAlignment="1">
      <alignment horizontal="right"/>
    </xf>
    <xf numFmtId="3" fontId="21" fillId="23" borderId="57" xfId="0" applyNumberFormat="1" applyFont="1" applyFill="1" applyBorder="1" applyAlignment="1">
      <alignment horizontal="right"/>
    </xf>
    <xf numFmtId="3" fontId="21" fillId="25" borderId="58" xfId="0" applyNumberFormat="1" applyFont="1" applyFill="1" applyBorder="1" applyAlignment="1">
      <alignment horizontal="right"/>
    </xf>
    <xf numFmtId="3" fontId="21" fillId="29" borderId="57" xfId="0" applyNumberFormat="1" applyFont="1" applyFill="1" applyBorder="1" applyAlignment="1">
      <alignment horizontal="right"/>
    </xf>
    <xf numFmtId="3" fontId="21" fillId="27" borderId="57" xfId="0" applyNumberFormat="1" applyFont="1" applyFill="1" applyBorder="1" applyAlignment="1">
      <alignment horizontal="right"/>
    </xf>
    <xf numFmtId="166" fontId="29" fillId="22" borderId="73" xfId="0" applyNumberFormat="1" applyFont="1" applyFill="1" applyBorder="1" applyAlignment="1">
      <alignment horizontal="center" vertical="center"/>
    </xf>
    <xf numFmtId="165" fontId="29" fillId="22" borderId="65" xfId="0" applyNumberFormat="1" applyFont="1" applyFill="1" applyBorder="1" applyAlignment="1">
      <alignment horizontal="center"/>
    </xf>
    <xf numFmtId="42" fontId="29" fillId="22" borderId="65" xfId="0" applyNumberFormat="1" applyFont="1" applyFill="1" applyBorder="1" applyAlignment="1">
      <alignment horizontal="center" vertical="center"/>
    </xf>
    <xf numFmtId="165" fontId="29" fillId="22" borderId="77" xfId="0" applyNumberFormat="1" applyFont="1" applyFill="1" applyBorder="1" applyAlignment="1">
      <alignment horizontal="center"/>
    </xf>
    <xf numFmtId="0" fontId="29" fillId="22" borderId="74" xfId="0" applyFont="1" applyFill="1" applyBorder="1" applyAlignment="1">
      <alignment horizontal="center" vertical="center"/>
    </xf>
    <xf numFmtId="0" fontId="29" fillId="22" borderId="65" xfId="0" applyFont="1" applyFill="1" applyBorder="1" applyAlignment="1">
      <alignment horizontal="center" vertical="center"/>
    </xf>
    <xf numFmtId="0" fontId="29" fillId="22" borderId="77" xfId="0" applyFont="1" applyFill="1" applyBorder="1" applyAlignment="1">
      <alignment horizontal="center" vertical="center"/>
    </xf>
    <xf numFmtId="0" fontId="10" fillId="0" borderId="0" xfId="0" applyFont="1" applyAlignment="1"/>
    <xf numFmtId="0" fontId="3" fillId="0" borderId="1" xfId="0" applyFont="1" applyBorder="1" applyAlignment="1">
      <alignment horizontal="center"/>
    </xf>
    <xf numFmtId="0" fontId="3" fillId="2" borderId="0" xfId="0" applyFont="1" applyFill="1" applyBorder="1" applyAlignment="1"/>
    <xf numFmtId="0" fontId="23" fillId="20" borderId="0" xfId="0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 wrapText="1"/>
    </xf>
    <xf numFmtId="0" fontId="7" fillId="21" borderId="63" xfId="0" applyFont="1" applyFill="1" applyBorder="1" applyAlignment="1">
      <alignment horizontal="center"/>
    </xf>
    <xf numFmtId="0" fontId="7" fillId="21" borderId="66" xfId="0" applyFont="1" applyFill="1" applyBorder="1" applyAlignment="1">
      <alignment horizontal="center"/>
    </xf>
    <xf numFmtId="0" fontId="16" fillId="15" borderId="70" xfId="0" applyFont="1" applyFill="1" applyBorder="1" applyAlignment="1">
      <alignment horizontal="center" vertical="center"/>
    </xf>
    <xf numFmtId="0" fontId="16" fillId="15" borderId="71" xfId="0" applyFont="1" applyFill="1" applyBorder="1" applyAlignment="1">
      <alignment horizontal="center" vertical="center"/>
    </xf>
    <xf numFmtId="0" fontId="16" fillId="15" borderId="72" xfId="0" applyFont="1" applyFill="1" applyBorder="1" applyAlignment="1">
      <alignment horizontal="center" vertical="center"/>
    </xf>
    <xf numFmtId="0" fontId="3" fillId="0" borderId="81" xfId="0" applyFont="1" applyBorder="1" applyAlignment="1">
      <alignment horizontal="center" vertical="center"/>
    </xf>
    <xf numFmtId="0" fontId="3" fillId="0" borderId="82" xfId="0" applyFont="1" applyBorder="1" applyAlignment="1">
      <alignment horizontal="center" vertical="center"/>
    </xf>
    <xf numFmtId="0" fontId="3" fillId="0" borderId="80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37" fontId="9" fillId="0" borderId="2" xfId="0" applyNumberFormat="1" applyFont="1" applyBorder="1" applyAlignment="1">
      <alignment horizontal="center" vertical="center" wrapText="1"/>
    </xf>
    <xf numFmtId="37" fontId="9" fillId="0" borderId="3" xfId="0" applyNumberFormat="1" applyFont="1" applyBorder="1" applyAlignment="1">
      <alignment horizontal="center" vertical="center" wrapText="1"/>
    </xf>
    <xf numFmtId="37" fontId="9" fillId="0" borderId="4" xfId="0" applyNumberFormat="1" applyFont="1" applyBorder="1" applyAlignment="1">
      <alignment horizontal="center" vertical="center" wrapText="1"/>
    </xf>
    <xf numFmtId="37" fontId="9" fillId="0" borderId="5" xfId="0" applyNumberFormat="1" applyFont="1" applyBorder="1" applyAlignment="1">
      <alignment horizontal="center" vertical="center" wrapText="1"/>
    </xf>
    <xf numFmtId="37" fontId="9" fillId="0" borderId="0" xfId="0" applyNumberFormat="1" applyFont="1" applyBorder="1" applyAlignment="1">
      <alignment horizontal="center" vertical="center" wrapText="1"/>
    </xf>
    <xf numFmtId="37" fontId="9" fillId="0" borderId="6" xfId="0" applyNumberFormat="1" applyFont="1" applyBorder="1" applyAlignment="1">
      <alignment horizontal="center" vertical="center" wrapText="1"/>
    </xf>
    <xf numFmtId="37" fontId="9" fillId="0" borderId="7" xfId="0" applyNumberFormat="1" applyFont="1" applyBorder="1" applyAlignment="1">
      <alignment horizontal="center" vertical="center" wrapText="1"/>
    </xf>
    <xf numFmtId="37" fontId="9" fillId="0" borderId="8" xfId="0" applyNumberFormat="1" applyFont="1" applyBorder="1" applyAlignment="1">
      <alignment horizontal="center" vertical="center" wrapText="1"/>
    </xf>
    <xf numFmtId="37" fontId="9" fillId="0" borderId="9" xfId="0" applyNumberFormat="1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6" fillId="16" borderId="0" xfId="0" applyFont="1" applyFill="1" applyBorder="1" applyAlignment="1">
      <alignment horizontal="center" vertical="center"/>
    </xf>
    <xf numFmtId="0" fontId="22" fillId="15" borderId="54" xfId="0" applyFont="1" applyFill="1" applyBorder="1" applyAlignment="1">
      <alignment horizontal="center" vertical="center"/>
    </xf>
    <xf numFmtId="0" fontId="22" fillId="15" borderId="56" xfId="0" applyFont="1" applyFill="1" applyBorder="1" applyAlignment="1">
      <alignment horizontal="center" vertical="center"/>
    </xf>
    <xf numFmtId="0" fontId="22" fillId="15" borderId="57" xfId="0" applyFont="1" applyFill="1" applyBorder="1" applyAlignment="1">
      <alignment horizontal="center" vertical="center"/>
    </xf>
    <xf numFmtId="0" fontId="22" fillId="19" borderId="54" xfId="0" applyFont="1" applyFill="1" applyBorder="1" applyAlignment="1">
      <alignment horizontal="center" vertical="center"/>
    </xf>
    <xf numFmtId="0" fontId="22" fillId="19" borderId="56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9" xfId="0" applyFont="1" applyBorder="1" applyAlignment="1">
      <alignment horizontal="center" vertical="center"/>
    </xf>
    <xf numFmtId="0" fontId="16" fillId="15" borderId="0" xfId="0" applyFont="1" applyFill="1" applyBorder="1" applyAlignment="1">
      <alignment horizontal="center"/>
    </xf>
    <xf numFmtId="0" fontId="7" fillId="21" borderId="0" xfId="0" applyFont="1" applyFill="1" applyBorder="1" applyAlignment="1">
      <alignment horizontal="center"/>
    </xf>
    <xf numFmtId="0" fontId="3" fillId="17" borderId="0" xfId="0" applyFont="1" applyFill="1" applyBorder="1" applyAlignment="1"/>
    <xf numFmtId="0" fontId="7" fillId="12" borderId="0" xfId="0" applyFont="1" applyFill="1" applyBorder="1" applyAlignment="1">
      <alignment horizontal="center"/>
    </xf>
    <xf numFmtId="0" fontId="3" fillId="11" borderId="0" xfId="0" applyFont="1" applyFill="1" applyBorder="1" applyAlignment="1"/>
    <xf numFmtId="0" fontId="7" fillId="13" borderId="0" xfId="0" applyFont="1" applyFill="1" applyBorder="1" applyAlignment="1">
      <alignment horizontal="center"/>
    </xf>
    <xf numFmtId="0" fontId="22" fillId="24" borderId="54" xfId="0" applyFont="1" applyFill="1" applyBorder="1" applyAlignment="1">
      <alignment horizontal="center" vertical="center"/>
    </xf>
    <xf numFmtId="0" fontId="22" fillId="24" borderId="56" xfId="0" applyFont="1" applyFill="1" applyBorder="1" applyAlignment="1">
      <alignment horizontal="center" vertical="center"/>
    </xf>
    <xf numFmtId="0" fontId="16" fillId="15" borderId="0" xfId="0" applyFont="1" applyFill="1" applyBorder="1" applyAlignment="1">
      <alignment horizontal="center" vertical="center"/>
    </xf>
    <xf numFmtId="0" fontId="22" fillId="26" borderId="54" xfId="0" applyFont="1" applyFill="1" applyBorder="1" applyAlignment="1">
      <alignment horizontal="center" vertical="center"/>
    </xf>
    <xf numFmtId="0" fontId="22" fillId="26" borderId="57" xfId="0" applyFont="1" applyFill="1" applyBorder="1" applyAlignment="1">
      <alignment horizontal="center" vertical="center"/>
    </xf>
    <xf numFmtId="0" fontId="22" fillId="28" borderId="54" xfId="0" applyFont="1" applyFill="1" applyBorder="1" applyAlignment="1">
      <alignment horizontal="center" vertical="center"/>
    </xf>
    <xf numFmtId="0" fontId="22" fillId="28" borderId="56" xfId="0" applyFont="1" applyFill="1" applyBorder="1" applyAlignment="1">
      <alignment horizontal="center" vertical="center"/>
    </xf>
    <xf numFmtId="0" fontId="22" fillId="30" borderId="54" xfId="0" applyFont="1" applyFill="1" applyBorder="1" applyAlignment="1">
      <alignment horizontal="center" vertical="center"/>
    </xf>
    <xf numFmtId="0" fontId="22" fillId="30" borderId="56" xfId="0" applyFont="1" applyFill="1" applyBorder="1" applyAlignment="1">
      <alignment horizontal="center" vertical="center"/>
    </xf>
    <xf numFmtId="0" fontId="3" fillId="17" borderId="63" xfId="0" applyFont="1" applyFill="1" applyBorder="1" applyAlignment="1"/>
    <xf numFmtId="0" fontId="3" fillId="17" borderId="66" xfId="0" applyFont="1" applyFill="1" applyBorder="1" applyAlignment="1"/>
    <xf numFmtId="0" fontId="16" fillId="17" borderId="0" xfId="0" applyFont="1" applyFill="1" applyBorder="1" applyAlignment="1">
      <alignment horizontal="center"/>
    </xf>
    <xf numFmtId="0" fontId="26" fillId="17" borderId="0" xfId="0" applyFont="1" applyFill="1" applyBorder="1" applyAlignment="1">
      <alignment horizontal="center" vertical="center"/>
    </xf>
    <xf numFmtId="0" fontId="22" fillId="17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/>
    </xf>
    <xf numFmtId="0" fontId="12" fillId="8" borderId="41" xfId="0" applyFont="1" applyFill="1" applyBorder="1" applyAlignment="1">
      <alignment horizontal="center"/>
    </xf>
    <xf numFmtId="0" fontId="12" fillId="8" borderId="42" xfId="0" applyFont="1" applyFill="1" applyBorder="1" applyAlignment="1">
      <alignment horizontal="center"/>
    </xf>
    <xf numFmtId="0" fontId="12" fillId="8" borderId="43" xfId="0" applyFont="1" applyFill="1" applyBorder="1" applyAlignment="1">
      <alignment horizontal="center"/>
    </xf>
    <xf numFmtId="0" fontId="11" fillId="9" borderId="44" xfId="0" applyFont="1" applyFill="1" applyBorder="1" applyAlignment="1">
      <alignment horizontal="center"/>
    </xf>
    <xf numFmtId="0" fontId="11" fillId="9" borderId="45" xfId="0" applyFont="1" applyFill="1" applyBorder="1" applyAlignment="1">
      <alignment horizontal="center"/>
    </xf>
    <xf numFmtId="0" fontId="11" fillId="9" borderId="41" xfId="0" applyFont="1" applyFill="1" applyBorder="1" applyAlignment="1">
      <alignment horizontal="center"/>
    </xf>
    <xf numFmtId="0" fontId="11" fillId="9" borderId="42" xfId="0" applyFont="1" applyFill="1" applyBorder="1" applyAlignment="1">
      <alignment horizontal="center"/>
    </xf>
    <xf numFmtId="0" fontId="11" fillId="9" borderId="43" xfId="0" applyFont="1" applyFill="1" applyBorder="1" applyAlignment="1">
      <alignment horizontal="center"/>
    </xf>
    <xf numFmtId="0" fontId="1" fillId="8" borderId="41" xfId="0" applyFont="1" applyFill="1" applyBorder="1" applyAlignment="1">
      <alignment horizontal="center" wrapText="1"/>
    </xf>
    <xf numFmtId="0" fontId="1" fillId="8" borderId="42" xfId="0" applyFont="1" applyFill="1" applyBorder="1" applyAlignment="1">
      <alignment horizontal="center" wrapText="1"/>
    </xf>
    <xf numFmtId="0" fontId="1" fillId="8" borderId="43" xfId="0" applyFont="1" applyFill="1" applyBorder="1" applyAlignment="1">
      <alignment horizontal="center" wrapText="1"/>
    </xf>
    <xf numFmtId="0" fontId="4" fillId="3" borderId="10" xfId="0" applyFont="1" applyFill="1" applyBorder="1" applyAlignment="1">
      <alignment horizontal="center" vertical="center"/>
    </xf>
    <xf numFmtId="0" fontId="5" fillId="0" borderId="11" xfId="0" applyFont="1" applyFill="1" applyBorder="1"/>
    <xf numFmtId="0" fontId="5" fillId="0" borderId="12" xfId="0" applyFont="1" applyFill="1" applyBorder="1"/>
    <xf numFmtId="0" fontId="4" fillId="4" borderId="11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0" fontId="4" fillId="6" borderId="11" xfId="0" applyFont="1" applyFill="1" applyBorder="1" applyAlignment="1">
      <alignment horizontal="center" vertical="center"/>
    </xf>
    <xf numFmtId="0" fontId="4" fillId="7" borderId="11" xfId="0" applyFont="1" applyFill="1" applyBorder="1" applyAlignment="1">
      <alignment horizontal="center"/>
    </xf>
    <xf numFmtId="0" fontId="5" fillId="0" borderId="13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CD1"/>
      <color rgb="FFFFFFE5"/>
      <color rgb="FFEFF50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tx>
            <c:v>Aktual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A7-4192-BE7D-C2B88FA910B2}"/>
            </c:ext>
          </c:extLst>
        </c:ser>
        <c:ser>
          <c:idx val="1"/>
          <c:order val="1"/>
          <c:tx>
            <c:strRef>
              <c:f>PENGATURAN!$H$4</c:f>
              <c:strCache>
                <c:ptCount val="1"/>
                <c:pt idx="0">
                  <c:v>Target</c:v>
                </c:pt>
              </c:strCache>
              <c:extLst xmlns:c15="http://schemas.microsoft.com/office/drawing/2012/chart"/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5A7-4192-BE7D-C2B88FA910B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8"/>
        <c:overlap val="-8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81977252843396"/>
          <c:y val="0.20879629629629629"/>
          <c:w val="0.88818022747156611"/>
          <c:h val="0.6294929279673374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PENGATURAN!$G$5:$G$7</c15:sqref>
                  </c15:fullRef>
                </c:ext>
              </c:extLst>
              <c:f>PENGATURAN!$G$5</c:f>
              <c:numCache>
                <c:formatCode>General</c:formatCode>
                <c:ptCount val="1"/>
                <c:pt idx="0">
                  <c:v>500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PENGATURAN!$G$4</c15:sqref>
                        </c15:formulaRef>
                      </c:ext>
                    </c:extLst>
                    <c:strCache>
                      <c:ptCount val="1"/>
                      <c:pt idx="0">
                        <c:v>Aktual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6B7-4660-81A4-DF5ED18E4C9C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PENGATURAN!$F$5:$F$7</c15:sqref>
                  </c15:fullRef>
                </c:ext>
              </c:extLst>
              <c:f>PENGATURAN!$F$5</c:f>
              <c:strCache>
                <c:ptCount val="1"/>
                <c:pt idx="0">
                  <c:v>Januari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PENGATURAN!$H$5:$H$7</c15:sqref>
                  </c15:fullRef>
                </c:ext>
              </c:extLst>
              <c:f>PENGATURAN!$H$5</c:f>
              <c:numCache>
                <c:formatCode>General</c:formatCode>
                <c:ptCount val="1"/>
                <c:pt idx="0">
                  <c:v>600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PENGATURAN!$H$4</c15:sqref>
                        </c15:formulaRef>
                      </c:ext>
                    </c:extLst>
                    <c:strCache>
                      <c:ptCount val="1"/>
                      <c:pt idx="0">
                        <c:v>Target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6B7-4660-81A4-DF5ED18E4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00214767"/>
        <c:axId val="114779103"/>
      </c:barChart>
      <c:catAx>
        <c:axId val="4002147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14779103"/>
        <c:crosses val="autoZero"/>
        <c:auto val="1"/>
        <c:lblAlgn val="ctr"/>
        <c:lblOffset val="100"/>
        <c:noMultiLvlLbl val="0"/>
      </c:catAx>
      <c:valAx>
        <c:axId val="114779103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4002147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chart" Target="../charts/chart1.xml"/><Relationship Id="rId2" Type="http://schemas.openxmlformats.org/officeDocument/2006/relationships/image" Target="../media/image2.png"/><Relationship Id="rId1" Type="http://schemas.openxmlformats.org/officeDocument/2006/relationships/image" Target="../media/image7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0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8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14" y="32684"/>
          <a:ext cx="378052" cy="37651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207" y="985000"/>
          <a:ext cx="303597" cy="300422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8353" y="2006357"/>
          <a:ext cx="253774" cy="258126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3464" y="2317385"/>
          <a:ext cx="296618" cy="293443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6162" y="29434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559" y="2596046"/>
          <a:ext cx="262025" cy="3064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7058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12</xdr:row>
      <xdr:rowOff>6903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6040" y="32684"/>
          <a:ext cx="378052" cy="370728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0143" y="1211332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6195" y="2232270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1306" y="2555998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2469" y="3306269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339" y="2961861"/>
          <a:ext cx="262025" cy="268357"/>
        </a:xfrm>
        <a:prstGeom prst="rect">
          <a:avLst/>
        </a:prstGeom>
      </xdr:spPr>
    </xdr:pic>
    <xdr:clientData/>
  </xdr:twoCellAnchor>
  <xdr:twoCellAnchor>
    <xdr:from>
      <xdr:col>4</xdr:col>
      <xdr:colOff>154214</xdr:colOff>
      <xdr:row>33</xdr:row>
      <xdr:rowOff>108858</xdr:rowOff>
    </xdr:from>
    <xdr:to>
      <xdr:col>6</xdr:col>
      <xdr:colOff>1475469</xdr:colOff>
      <xdr:row>46</xdr:row>
      <xdr:rowOff>172358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308946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735746"/>
          <a:ext cx="262025" cy="26835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12</xdr:row>
          <xdr:rowOff>69850</xdr:rowOff>
        </xdr:from>
        <xdr:to>
          <xdr:col>7</xdr:col>
          <xdr:colOff>6350</xdr:colOff>
          <xdr:row>14</xdr:row>
          <xdr:rowOff>25400</xdr:rowOff>
        </xdr:to>
        <xdr:sp macro="" textlink="">
          <xdr:nvSpPr>
            <xdr:cNvPr id="5122" name="CommandButton1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3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13</xdr:row>
          <xdr:rowOff>88900</xdr:rowOff>
        </xdr:from>
        <xdr:to>
          <xdr:col>12</xdr:col>
          <xdr:colOff>19050</xdr:colOff>
          <xdr:row>15</xdr:row>
          <xdr:rowOff>82550</xdr:rowOff>
        </xdr:to>
        <xdr:sp macro="" textlink="">
          <xdr:nvSpPr>
            <xdr:cNvPr id="5129" name="CommandButton2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3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121864</xdr:colOff>
      <xdr:row>0</xdr:row>
      <xdr:rowOff>32684</xdr:rowOff>
    </xdr:from>
    <xdr:to>
      <xdr:col>1</xdr:col>
      <xdr:colOff>499916</xdr:colOff>
      <xdr:row>1</xdr:row>
      <xdr:rowOff>209177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1614" y="32684"/>
          <a:ext cx="378052" cy="373343"/>
        </a:xfrm>
        <a:prstGeom prst="rect">
          <a:avLst/>
        </a:prstGeom>
      </xdr:spPr>
    </xdr:pic>
    <xdr:clientData/>
  </xdr:twoCellAnchor>
  <xdr:twoCellAnchor editAs="oneCell">
    <xdr:from>
      <xdr:col>1</xdr:col>
      <xdr:colOff>235857</xdr:colOff>
      <xdr:row>5</xdr:row>
      <xdr:rowOff>22975</xdr:rowOff>
    </xdr:from>
    <xdr:to>
      <xdr:col>1</xdr:col>
      <xdr:colOff>539454</xdr:colOff>
      <xdr:row>6</xdr:row>
      <xdr:rowOff>9072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5607" y="988175"/>
          <a:ext cx="303597" cy="303597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254003</xdr:colOff>
      <xdr:row>8</xdr:row>
      <xdr:rowOff>244232</xdr:rowOff>
    </xdr:from>
    <xdr:to>
      <xdr:col>1</xdr:col>
      <xdr:colOff>507777</xdr:colOff>
      <xdr:row>10</xdr:row>
      <xdr:rowOff>2728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3753" y="2022232"/>
          <a:ext cx="253774" cy="254951"/>
        </a:xfrm>
        <a:prstGeom prst="rect">
          <a:avLst/>
        </a:prstGeom>
      </xdr:spPr>
    </xdr:pic>
    <xdr:clientData/>
  </xdr:twoCellAnchor>
  <xdr:twoCellAnchor editAs="oneCell">
    <xdr:from>
      <xdr:col>1</xdr:col>
      <xdr:colOff>249114</xdr:colOff>
      <xdr:row>10</xdr:row>
      <xdr:rowOff>59960</xdr:rowOff>
    </xdr:from>
    <xdr:to>
      <xdr:col>1</xdr:col>
      <xdr:colOff>545732</xdr:colOff>
      <xdr:row>11</xdr:row>
      <xdr:rowOff>39078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8864" y="2345960"/>
          <a:ext cx="296618" cy="296618"/>
        </a:xfrm>
        <a:prstGeom prst="rect">
          <a:avLst/>
        </a:prstGeom>
      </xdr:spPr>
    </xdr:pic>
    <xdr:clientData/>
  </xdr:twoCellAnchor>
  <xdr:twoCellAnchor editAs="oneCell">
    <xdr:from>
      <xdr:col>1</xdr:col>
      <xdr:colOff>271812</xdr:colOff>
      <xdr:row>12</xdr:row>
      <xdr:rowOff>47812</xdr:rowOff>
    </xdr:from>
    <xdr:to>
      <xdr:col>1</xdr:col>
      <xdr:colOff>531113</xdr:colOff>
      <xdr:row>12</xdr:row>
      <xdr:rowOff>304799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1562" y="2981512"/>
          <a:ext cx="259301" cy="256987"/>
        </a:xfrm>
        <a:prstGeom prst="rect">
          <a:avLst/>
        </a:prstGeom>
      </xdr:spPr>
    </xdr:pic>
    <xdr:clientData/>
  </xdr:twoCellAnchor>
  <xdr:twoCellAnchor editAs="oneCell">
    <xdr:from>
      <xdr:col>1</xdr:col>
      <xdr:colOff>256209</xdr:colOff>
      <xdr:row>11</xdr:row>
      <xdr:rowOff>24296</xdr:rowOff>
    </xdr:from>
    <xdr:to>
      <xdr:col>1</xdr:col>
      <xdr:colOff>518234</xdr:colOff>
      <xdr:row>11</xdr:row>
      <xdr:rowOff>292653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959" y="2627796"/>
          <a:ext cx="262025" cy="268357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219075</xdr:colOff>
      <xdr:row>3</xdr:row>
      <xdr:rowOff>47625</xdr:rowOff>
    </xdr:from>
    <xdr:to>
      <xdr:col>12</xdr:col>
      <xdr:colOff>152400</xdr:colOff>
      <xdr:row>18</xdr:row>
      <xdr:rowOff>146050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12700</xdr:colOff>
          <xdr:row>8</xdr:row>
          <xdr:rowOff>38100</xdr:rowOff>
        </xdr:from>
        <xdr:to>
          <xdr:col>2</xdr:col>
          <xdr:colOff>1206500</xdr:colOff>
          <xdr:row>12</xdr:row>
          <xdr:rowOff>120650</xdr:rowOff>
        </xdr:to>
        <xdr:sp macro="" textlink="">
          <xdr:nvSpPr>
            <xdr:cNvPr id="1027" name="SUBMI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7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9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8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1.emf"/><Relationship Id="rId4" Type="http://schemas.openxmlformats.org/officeDocument/2006/relationships/control" Target="../activeX/activeX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0">
    <outlinePr summaryBelow="0" summaryRight="0"/>
  </sheetPr>
  <dimension ref="A1:AC524"/>
  <sheetViews>
    <sheetView zoomScale="40" zoomScaleNormal="40" workbookViewId="0">
      <selection activeCell="G31" sqref="G3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41" customWidth="1"/>
    <col min="15" max="15" width="35.81640625" style="41" bestFit="1" customWidth="1"/>
    <col min="16" max="16" width="16.1796875" style="41" bestFit="1" customWidth="1"/>
    <col min="17" max="17" width="25.54296875" style="41" bestFit="1" customWidth="1"/>
    <col min="18" max="18" width="16.7265625" style="41" bestFit="1" customWidth="1"/>
    <col min="19" max="19" width="28.54296875" style="41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8"/>
      <c r="S1" s="199"/>
      <c r="T1" s="199"/>
      <c r="U1" s="199"/>
      <c r="V1" s="199"/>
      <c r="W1" s="199"/>
      <c r="X1" s="199"/>
      <c r="Y1" s="199"/>
      <c r="Z1" s="199"/>
      <c r="AA1" s="199"/>
      <c r="AB1" s="79"/>
    </row>
    <row r="2" spans="1:28" ht="19.5" customHeight="1">
      <c r="A2" s="96"/>
      <c r="B2" s="96"/>
      <c r="C2" s="96" t="s">
        <v>71</v>
      </c>
      <c r="D2" s="78"/>
      <c r="E2" s="230" t="s">
        <v>97</v>
      </c>
      <c r="F2" s="230"/>
      <c r="G2" s="230"/>
      <c r="H2" s="230"/>
      <c r="I2" s="230"/>
      <c r="J2" s="230"/>
      <c r="K2" s="230"/>
      <c r="L2" s="112"/>
      <c r="M2" s="112"/>
      <c r="N2" s="112"/>
      <c r="O2" s="112"/>
      <c r="P2" s="112"/>
      <c r="Q2" s="112"/>
      <c r="R2" s="201"/>
      <c r="S2" s="199"/>
      <c r="T2" s="199"/>
      <c r="U2" s="199"/>
      <c r="V2" s="199"/>
      <c r="W2" s="199"/>
      <c r="X2" s="199"/>
      <c r="Y2" s="199"/>
      <c r="Z2" s="199"/>
      <c r="AA2" s="199"/>
      <c r="AB2" s="79"/>
    </row>
    <row r="3" spans="1:28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12"/>
      <c r="M3" s="112"/>
      <c r="N3" s="112"/>
      <c r="O3" s="112"/>
      <c r="P3" s="112"/>
      <c r="Q3" s="112"/>
      <c r="R3" s="201"/>
      <c r="S3" s="199"/>
      <c r="T3" s="199"/>
      <c r="U3" s="199"/>
      <c r="V3" s="199"/>
      <c r="W3" s="199"/>
      <c r="X3" s="199"/>
      <c r="Y3" s="199"/>
      <c r="Z3" s="199"/>
      <c r="AA3" s="199"/>
      <c r="AB3" s="79"/>
    </row>
    <row r="4" spans="1:28" ht="16" customHeight="1">
      <c r="A4" s="62"/>
      <c r="B4" s="231" t="s">
        <v>72</v>
      </c>
      <c r="C4" s="231"/>
      <c r="D4" s="78"/>
      <c r="E4" s="105"/>
      <c r="F4" s="105"/>
      <c r="G4" s="105"/>
      <c r="H4" s="105"/>
      <c r="I4" s="105"/>
      <c r="J4" s="105"/>
      <c r="K4" s="105"/>
      <c r="L4" s="112"/>
      <c r="M4" s="112"/>
      <c r="N4" s="112"/>
      <c r="O4" s="112"/>
      <c r="P4" s="112"/>
      <c r="Q4" s="112"/>
      <c r="R4" s="201"/>
      <c r="S4" s="199"/>
      <c r="T4" s="199"/>
      <c r="U4" s="199"/>
      <c r="V4" s="199"/>
      <c r="W4" s="199"/>
      <c r="X4" s="199"/>
      <c r="Y4" s="199"/>
      <c r="Z4" s="199"/>
      <c r="AA4" s="199"/>
      <c r="AB4" s="79"/>
    </row>
    <row r="5" spans="1:28" ht="15.75" customHeight="1">
      <c r="A5" s="62"/>
      <c r="B5" s="231"/>
      <c r="C5" s="231"/>
      <c r="D5" s="78"/>
      <c r="E5" s="78"/>
      <c r="F5" s="78"/>
      <c r="G5" s="78"/>
      <c r="H5" s="199"/>
      <c r="I5" s="199"/>
      <c r="J5" s="199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9"/>
    </row>
    <row r="6" spans="1:28" ht="25" customHeight="1">
      <c r="A6" s="62"/>
      <c r="B6" s="97"/>
      <c r="C6" s="99" t="s">
        <v>37</v>
      </c>
      <c r="D6" s="79"/>
      <c r="E6" s="120"/>
      <c r="F6" s="200"/>
      <c r="G6" s="124"/>
      <c r="H6" s="158"/>
      <c r="I6" s="158"/>
      <c r="J6" s="158"/>
      <c r="K6" s="232"/>
      <c r="L6" s="232"/>
      <c r="M6" s="232"/>
      <c r="N6" s="232"/>
      <c r="O6" s="232"/>
      <c r="P6" s="232"/>
      <c r="Q6" s="232"/>
      <c r="R6" s="233"/>
      <c r="S6" s="79"/>
      <c r="T6" s="79"/>
      <c r="U6" s="79"/>
      <c r="V6" s="79"/>
      <c r="W6" s="79"/>
      <c r="X6" s="79"/>
      <c r="Y6" s="79"/>
      <c r="Z6" s="79"/>
      <c r="AA6" s="82"/>
      <c r="AB6" s="79"/>
    </row>
    <row r="7" spans="1:28" ht="19" customHeight="1">
      <c r="A7" s="62"/>
      <c r="B7" s="62"/>
      <c r="C7" s="98" t="s">
        <v>38</v>
      </c>
      <c r="D7" s="80"/>
      <c r="E7" s="119"/>
      <c r="F7" s="234" t="s">
        <v>42</v>
      </c>
      <c r="G7" s="235"/>
      <c r="H7" s="235"/>
      <c r="I7" s="235"/>
      <c r="J7" s="235"/>
      <c r="K7" s="236"/>
      <c r="L7" s="201"/>
      <c r="M7" s="201"/>
      <c r="N7" s="234" t="s">
        <v>117</v>
      </c>
      <c r="O7" s="235"/>
      <c r="P7" s="235"/>
      <c r="Q7" s="235"/>
      <c r="R7" s="235"/>
      <c r="S7" s="236"/>
      <c r="T7" s="79"/>
      <c r="U7" s="79"/>
      <c r="V7" s="79"/>
      <c r="W7" s="79"/>
      <c r="X7" s="79"/>
      <c r="Y7" s="79"/>
      <c r="Z7" s="79"/>
      <c r="AA7" s="199"/>
      <c r="AB7" s="79"/>
    </row>
    <row r="8" spans="1:28" ht="20.149999999999999" customHeight="1">
      <c r="A8" s="62"/>
      <c r="B8" s="62"/>
      <c r="C8" s="98" t="s">
        <v>39</v>
      </c>
      <c r="D8" s="80"/>
      <c r="E8" s="127"/>
      <c r="F8" s="143" t="s">
        <v>84</v>
      </c>
      <c r="G8" s="123" t="s">
        <v>85</v>
      </c>
      <c r="H8" s="123" t="s">
        <v>86</v>
      </c>
      <c r="I8" s="123" t="s">
        <v>94</v>
      </c>
      <c r="J8" s="123" t="s">
        <v>88</v>
      </c>
      <c r="K8" s="144" t="s">
        <v>99</v>
      </c>
      <c r="L8" s="201"/>
      <c r="M8" s="201"/>
      <c r="N8" s="143" t="s">
        <v>84</v>
      </c>
      <c r="O8" s="123" t="s">
        <v>85</v>
      </c>
      <c r="P8" s="123" t="s">
        <v>86</v>
      </c>
      <c r="Q8" s="123" t="s">
        <v>94</v>
      </c>
      <c r="R8" s="123" t="s">
        <v>88</v>
      </c>
      <c r="S8" s="144" t="s">
        <v>99</v>
      </c>
      <c r="T8" s="79"/>
      <c r="U8" s="79"/>
      <c r="V8" s="79"/>
      <c r="W8" s="79"/>
      <c r="X8" s="79"/>
      <c r="Y8" s="79"/>
      <c r="Z8" s="79"/>
      <c r="AA8" s="199"/>
      <c r="AB8" s="79"/>
    </row>
    <row r="9" spans="1:28" ht="20.149999999999999" customHeight="1">
      <c r="A9" s="62"/>
      <c r="B9" s="62"/>
      <c r="C9" s="98" t="s">
        <v>40</v>
      </c>
      <c r="D9" s="80"/>
      <c r="E9" s="127"/>
      <c r="F9" s="182">
        <v>45565</v>
      </c>
      <c r="G9" s="163" t="s">
        <v>98</v>
      </c>
      <c r="H9" s="183">
        <v>155000</v>
      </c>
      <c r="I9" s="163" t="s">
        <v>1</v>
      </c>
      <c r="J9" s="176"/>
      <c r="K9" s="184" t="s">
        <v>100</v>
      </c>
      <c r="L9" s="201"/>
      <c r="M9" s="201"/>
      <c r="N9" s="182">
        <v>45577</v>
      </c>
      <c r="O9" s="163" t="s">
        <v>118</v>
      </c>
      <c r="P9" s="183">
        <v>156000</v>
      </c>
      <c r="Q9" s="163" t="s">
        <v>2</v>
      </c>
      <c r="R9" s="176" t="s">
        <v>119</v>
      </c>
      <c r="S9" s="184" t="s">
        <v>120</v>
      </c>
      <c r="T9" s="199"/>
      <c r="U9" s="199"/>
      <c r="V9" s="199"/>
      <c r="W9" s="199"/>
      <c r="X9" s="199"/>
      <c r="Y9" s="199"/>
      <c r="Z9" s="199"/>
      <c r="AA9" s="199"/>
      <c r="AB9" s="79"/>
    </row>
    <row r="10" spans="1:28" ht="20.149999999999999" customHeight="1">
      <c r="A10" s="62"/>
      <c r="B10" s="62"/>
      <c r="C10" s="99" t="s">
        <v>41</v>
      </c>
      <c r="D10" s="79"/>
      <c r="E10" s="119"/>
      <c r="F10" s="182">
        <v>45565</v>
      </c>
      <c r="G10" s="181" t="s">
        <v>101</v>
      </c>
      <c r="H10" s="183">
        <v>139000</v>
      </c>
      <c r="I10" s="181" t="s">
        <v>32</v>
      </c>
      <c r="J10" s="185" t="s">
        <v>102</v>
      </c>
      <c r="K10" s="184" t="s">
        <v>101</v>
      </c>
      <c r="L10" s="201"/>
      <c r="M10" s="145"/>
      <c r="N10" s="182"/>
      <c r="O10" s="181"/>
      <c r="P10" s="183"/>
      <c r="Q10" s="181"/>
      <c r="R10" s="185"/>
      <c r="S10" s="184"/>
      <c r="T10" s="79"/>
      <c r="U10" s="79"/>
      <c r="V10" s="79"/>
      <c r="W10" s="79"/>
      <c r="X10" s="79"/>
      <c r="Y10" s="79"/>
      <c r="Z10" s="79"/>
      <c r="AA10" s="79"/>
      <c r="AB10" s="79"/>
    </row>
    <row r="11" spans="1:28" ht="25" customHeight="1">
      <c r="A11" s="62"/>
      <c r="B11" s="62"/>
      <c r="C11" s="99" t="s">
        <v>42</v>
      </c>
      <c r="D11" s="79"/>
      <c r="E11" s="119"/>
      <c r="F11" s="182">
        <v>45566</v>
      </c>
      <c r="G11" s="163" t="s">
        <v>104</v>
      </c>
      <c r="H11" s="183">
        <v>1223123</v>
      </c>
      <c r="I11" s="163" t="s">
        <v>3</v>
      </c>
      <c r="J11" s="176" t="s">
        <v>106</v>
      </c>
      <c r="K11" s="184" t="s">
        <v>105</v>
      </c>
      <c r="L11" s="201"/>
      <c r="M11" s="147"/>
      <c r="N11" s="182"/>
      <c r="O11" s="163"/>
      <c r="P11" s="183"/>
      <c r="Q11" s="163"/>
      <c r="R11" s="176"/>
      <c r="S11" s="184"/>
      <c r="T11" s="79"/>
      <c r="U11" s="79"/>
      <c r="V11" s="79"/>
      <c r="W11" s="79"/>
      <c r="X11" s="79"/>
      <c r="Y11" s="79"/>
      <c r="Z11" s="79"/>
      <c r="AA11" s="79"/>
      <c r="AB11" s="79"/>
    </row>
    <row r="12" spans="1:28" ht="26.15" customHeight="1">
      <c r="A12" s="62"/>
      <c r="B12" s="62"/>
      <c r="C12" s="99" t="s">
        <v>73</v>
      </c>
      <c r="D12" s="79"/>
      <c r="E12" s="119"/>
      <c r="F12" s="182"/>
      <c r="G12" s="186"/>
      <c r="H12" s="183"/>
      <c r="I12" s="186"/>
      <c r="J12" s="187"/>
      <c r="K12" s="184"/>
      <c r="L12" s="201"/>
      <c r="M12" s="201"/>
      <c r="N12" s="182"/>
      <c r="O12" s="186"/>
      <c r="P12" s="183"/>
      <c r="Q12" s="186"/>
      <c r="R12" s="187"/>
      <c r="S12" s="184"/>
      <c r="T12" s="79"/>
      <c r="U12" s="79"/>
      <c r="V12" s="79"/>
      <c r="W12" s="79"/>
      <c r="X12" s="79"/>
      <c r="Y12" s="79"/>
      <c r="Z12" s="79"/>
      <c r="AA12" s="79"/>
      <c r="AB12" s="79"/>
    </row>
    <row r="13" spans="1:28" ht="28.5" customHeight="1">
      <c r="A13" s="62"/>
      <c r="B13" s="62"/>
      <c r="C13" s="99" t="s">
        <v>74</v>
      </c>
      <c r="D13" s="79"/>
      <c r="E13" s="119"/>
      <c r="F13" s="182"/>
      <c r="G13" s="163"/>
      <c r="H13" s="183"/>
      <c r="I13" s="163"/>
      <c r="J13" s="176"/>
      <c r="K13" s="184"/>
      <c r="L13" s="201"/>
      <c r="M13" s="201"/>
      <c r="N13" s="182"/>
      <c r="O13" s="163"/>
      <c r="P13" s="183"/>
      <c r="Q13" s="163"/>
      <c r="R13" s="176"/>
      <c r="S13" s="184"/>
      <c r="T13" s="79"/>
      <c r="U13" s="79"/>
      <c r="V13" s="79"/>
      <c r="W13" s="79"/>
      <c r="X13" s="79"/>
      <c r="Y13" s="79"/>
      <c r="Z13" s="79"/>
      <c r="AA13" s="79"/>
      <c r="AB13" s="79"/>
    </row>
    <row r="14" spans="1:28" ht="15.75" customHeight="1">
      <c r="A14" s="62"/>
      <c r="B14" s="62"/>
      <c r="C14" s="62"/>
      <c r="D14" s="79"/>
      <c r="E14" s="119"/>
      <c r="F14" s="182"/>
      <c r="G14" s="181"/>
      <c r="H14" s="183"/>
      <c r="I14" s="181"/>
      <c r="J14" s="185"/>
      <c r="K14" s="184"/>
      <c r="L14" s="201"/>
      <c r="M14" s="201"/>
      <c r="N14" s="182"/>
      <c r="O14" s="181"/>
      <c r="P14" s="183"/>
      <c r="Q14" s="181"/>
      <c r="R14" s="185"/>
      <c r="S14" s="184"/>
      <c r="T14" s="79"/>
      <c r="U14" s="79"/>
      <c r="V14" s="79"/>
      <c r="W14" s="79"/>
      <c r="X14" s="79"/>
      <c r="Y14" s="79"/>
      <c r="Z14" s="79"/>
      <c r="AA14" s="79"/>
      <c r="AB14" s="79"/>
    </row>
    <row r="15" spans="1:28" ht="15.75" customHeight="1">
      <c r="A15" s="62"/>
      <c r="B15" s="62"/>
      <c r="C15" s="62"/>
      <c r="D15" s="79"/>
      <c r="E15" s="119"/>
      <c r="F15" s="182"/>
      <c r="G15" s="163"/>
      <c r="H15" s="183"/>
      <c r="I15" s="163"/>
      <c r="J15" s="176"/>
      <c r="K15" s="184"/>
      <c r="L15" s="201"/>
      <c r="M15" s="201"/>
      <c r="N15" s="182"/>
      <c r="O15" s="163"/>
      <c r="P15" s="183"/>
      <c r="Q15" s="163"/>
      <c r="R15" s="176"/>
      <c r="S15" s="184"/>
      <c r="T15" s="79"/>
      <c r="U15" s="79"/>
      <c r="V15" s="79"/>
      <c r="W15" s="79"/>
      <c r="X15" s="79"/>
      <c r="Y15" s="79"/>
      <c r="Z15" s="79"/>
      <c r="AA15" s="79"/>
      <c r="AB15" s="79"/>
    </row>
    <row r="16" spans="1:28" ht="15.75" customHeight="1">
      <c r="A16" s="62"/>
      <c r="B16" s="62"/>
      <c r="C16" s="62"/>
      <c r="D16" s="79" t="s">
        <v>52</v>
      </c>
      <c r="E16" s="119"/>
      <c r="F16" s="182"/>
      <c r="G16" s="186"/>
      <c r="H16" s="183"/>
      <c r="I16" s="186"/>
      <c r="J16" s="187"/>
      <c r="K16" s="184"/>
      <c r="L16" s="201"/>
      <c r="M16" s="201"/>
      <c r="N16" s="182"/>
      <c r="O16" s="186"/>
      <c r="P16" s="183"/>
      <c r="Q16" s="186"/>
      <c r="R16" s="187"/>
      <c r="S16" s="184"/>
      <c r="T16" s="79"/>
      <c r="U16" s="79"/>
      <c r="V16" s="79"/>
      <c r="W16" s="79"/>
      <c r="X16" s="79"/>
      <c r="Y16" s="79"/>
      <c r="Z16" s="79"/>
      <c r="AA16" s="79"/>
      <c r="AB16" s="79"/>
    </row>
    <row r="17" spans="1:28" ht="15.75" customHeight="1">
      <c r="A17" s="62"/>
      <c r="B17" s="62"/>
      <c r="C17" s="62"/>
      <c r="D17" s="79"/>
      <c r="E17" s="119"/>
      <c r="F17" s="182"/>
      <c r="G17" s="163"/>
      <c r="H17" s="183"/>
      <c r="I17" s="163"/>
      <c r="J17" s="176"/>
      <c r="K17" s="184"/>
      <c r="L17" s="201"/>
      <c r="M17" s="201"/>
      <c r="N17" s="182"/>
      <c r="O17" s="163"/>
      <c r="P17" s="183"/>
      <c r="Q17" s="163"/>
      <c r="R17" s="176"/>
      <c r="S17" s="184"/>
      <c r="T17" s="79"/>
      <c r="U17" s="79"/>
      <c r="V17" s="79"/>
      <c r="W17" s="79"/>
      <c r="X17" s="79"/>
      <c r="Y17" s="79"/>
      <c r="Z17" s="79"/>
      <c r="AA17" s="79"/>
      <c r="AB17" s="79"/>
    </row>
    <row r="18" spans="1:28" ht="15.75" customHeight="1">
      <c r="A18" s="62"/>
      <c r="B18" s="62"/>
      <c r="C18" s="62"/>
      <c r="D18" s="79"/>
      <c r="E18" s="119"/>
      <c r="F18" s="182"/>
      <c r="G18" s="181"/>
      <c r="H18" s="183"/>
      <c r="I18" s="181"/>
      <c r="J18" s="185"/>
      <c r="K18" s="184"/>
      <c r="L18" s="201"/>
      <c r="M18" s="201"/>
      <c r="N18" s="182"/>
      <c r="O18" s="181"/>
      <c r="P18" s="183"/>
      <c r="Q18" s="181"/>
      <c r="R18" s="185"/>
      <c r="S18" s="184"/>
      <c r="T18" s="79"/>
      <c r="U18" s="79"/>
      <c r="V18" s="79"/>
      <c r="W18" s="79"/>
      <c r="X18" s="79"/>
      <c r="Y18" s="79"/>
      <c r="Z18" s="79"/>
      <c r="AA18" s="79"/>
      <c r="AB18" s="79"/>
    </row>
    <row r="19" spans="1:28" ht="15.75" customHeight="1">
      <c r="A19" s="62"/>
      <c r="B19" s="62"/>
      <c r="C19" s="62"/>
      <c r="D19" s="79"/>
      <c r="E19" s="119"/>
      <c r="F19" s="182"/>
      <c r="G19" s="163"/>
      <c r="H19" s="183"/>
      <c r="I19" s="163"/>
      <c r="J19" s="176"/>
      <c r="K19" s="184"/>
      <c r="L19" s="201"/>
      <c r="M19" s="201"/>
      <c r="N19" s="182"/>
      <c r="O19" s="163"/>
      <c r="P19" s="183"/>
      <c r="Q19" s="163"/>
      <c r="R19" s="176"/>
      <c r="S19" s="184"/>
      <c r="T19" s="79"/>
      <c r="U19" s="79"/>
      <c r="V19" s="79"/>
      <c r="W19" s="79"/>
      <c r="X19" s="79"/>
      <c r="Y19" s="79"/>
      <c r="Z19" s="79"/>
      <c r="AA19" s="79"/>
      <c r="AB19" s="79"/>
    </row>
    <row r="20" spans="1:28" ht="15.75" customHeight="1">
      <c r="A20" s="62"/>
      <c r="B20" s="62"/>
      <c r="C20" s="62"/>
      <c r="D20" s="79"/>
      <c r="E20" s="119"/>
      <c r="F20" s="182"/>
      <c r="G20" s="186"/>
      <c r="H20" s="183"/>
      <c r="I20" s="186"/>
      <c r="J20" s="187"/>
      <c r="K20" s="184"/>
      <c r="L20" s="201"/>
      <c r="M20" s="201"/>
      <c r="N20" s="182"/>
      <c r="O20" s="186"/>
      <c r="P20" s="183"/>
      <c r="Q20" s="186"/>
      <c r="R20" s="187"/>
      <c r="S20" s="184"/>
      <c r="T20" s="79"/>
      <c r="U20" s="79"/>
      <c r="V20" s="79"/>
      <c r="W20" s="79"/>
      <c r="X20" s="79"/>
      <c r="Y20" s="79"/>
      <c r="Z20" s="79"/>
      <c r="AA20" s="79"/>
      <c r="AB20" s="79"/>
    </row>
    <row r="21" spans="1:28" ht="15.75" customHeight="1">
      <c r="A21" s="62"/>
      <c r="B21" s="62"/>
      <c r="C21" s="62"/>
      <c r="D21" s="79"/>
      <c r="E21" s="119"/>
      <c r="F21" s="182"/>
      <c r="G21" s="163"/>
      <c r="H21" s="183"/>
      <c r="I21" s="163"/>
      <c r="J21" s="176"/>
      <c r="K21" s="184"/>
      <c r="L21" s="201"/>
      <c r="M21" s="201"/>
      <c r="N21" s="182"/>
      <c r="O21" s="163"/>
      <c r="P21" s="183"/>
      <c r="Q21" s="163"/>
      <c r="R21" s="176"/>
      <c r="S21" s="184"/>
      <c r="T21" s="79"/>
      <c r="U21" s="79"/>
      <c r="V21" s="79"/>
      <c r="W21" s="79"/>
      <c r="X21" s="79"/>
      <c r="Y21" s="79"/>
      <c r="Z21" s="79"/>
      <c r="AA21" s="79"/>
      <c r="AB21" s="79"/>
    </row>
    <row r="22" spans="1:28" ht="15.75" customHeight="1">
      <c r="A22" s="62"/>
      <c r="B22" s="62"/>
      <c r="C22" s="62"/>
      <c r="D22" s="79"/>
      <c r="E22" s="119"/>
      <c r="F22" s="182"/>
      <c r="G22" s="181"/>
      <c r="H22" s="183"/>
      <c r="I22" s="181"/>
      <c r="J22" s="185"/>
      <c r="K22" s="184"/>
      <c r="L22" s="201"/>
      <c r="M22" s="201"/>
      <c r="N22" s="182"/>
      <c r="O22" s="181"/>
      <c r="P22" s="183"/>
      <c r="Q22" s="181"/>
      <c r="R22" s="185"/>
      <c r="S22" s="184"/>
      <c r="T22" s="79"/>
      <c r="U22" s="79"/>
      <c r="V22" s="79"/>
      <c r="W22" s="79"/>
      <c r="X22" s="79"/>
      <c r="Y22" s="79"/>
      <c r="Z22" s="79"/>
      <c r="AA22" s="79"/>
      <c r="AB22" s="79"/>
    </row>
    <row r="23" spans="1:28" ht="15.75" customHeight="1">
      <c r="A23" s="62"/>
      <c r="B23" s="62"/>
      <c r="C23" s="62"/>
      <c r="D23" s="79"/>
      <c r="E23" s="119"/>
      <c r="F23" s="182"/>
      <c r="G23" s="163"/>
      <c r="H23" s="183"/>
      <c r="I23" s="163"/>
      <c r="J23" s="176"/>
      <c r="K23" s="184"/>
      <c r="L23" s="201"/>
      <c r="M23" s="201"/>
      <c r="N23" s="182"/>
      <c r="O23" s="163"/>
      <c r="P23" s="183"/>
      <c r="Q23" s="163"/>
      <c r="R23" s="176"/>
      <c r="S23" s="184"/>
      <c r="T23" s="79"/>
      <c r="U23" s="79"/>
      <c r="V23" s="79"/>
      <c r="W23" s="79"/>
      <c r="X23" s="79"/>
      <c r="Y23" s="79"/>
      <c r="Z23" s="79"/>
      <c r="AA23" s="79"/>
      <c r="AB23" s="79"/>
    </row>
    <row r="24" spans="1:28" ht="15.75" customHeight="1">
      <c r="A24" s="62"/>
      <c r="B24" s="62"/>
      <c r="C24" s="62"/>
      <c r="D24" s="79"/>
      <c r="E24" s="119"/>
      <c r="F24" s="182"/>
      <c r="G24" s="186"/>
      <c r="H24" s="183"/>
      <c r="I24" s="186"/>
      <c r="J24" s="187"/>
      <c r="K24" s="184"/>
      <c r="L24" s="201"/>
      <c r="M24" s="201"/>
      <c r="N24" s="182"/>
      <c r="O24" s="186"/>
      <c r="P24" s="183"/>
      <c r="Q24" s="186"/>
      <c r="R24" s="187"/>
      <c r="S24" s="184"/>
      <c r="T24" s="79"/>
      <c r="U24" s="79"/>
      <c r="V24" s="79"/>
      <c r="W24" s="79"/>
      <c r="X24" s="79"/>
      <c r="Y24" s="79"/>
      <c r="Z24" s="79"/>
      <c r="AA24" s="79"/>
      <c r="AB24" s="79"/>
    </row>
    <row r="25" spans="1:28" ht="15.75" customHeight="1">
      <c r="A25" s="62"/>
      <c r="B25" s="62"/>
      <c r="C25" s="62"/>
      <c r="D25" s="79"/>
      <c r="E25" s="119"/>
      <c r="F25" s="182"/>
      <c r="G25" s="163"/>
      <c r="H25" s="183"/>
      <c r="I25" s="163"/>
      <c r="J25" s="176"/>
      <c r="K25" s="184"/>
      <c r="L25" s="201"/>
      <c r="M25" s="201"/>
      <c r="N25" s="182"/>
      <c r="O25" s="186"/>
      <c r="P25" s="183"/>
      <c r="Q25" s="186"/>
      <c r="R25" s="187"/>
      <c r="S25" s="184"/>
      <c r="T25" s="79"/>
      <c r="U25" s="79"/>
      <c r="V25" s="79"/>
      <c r="W25" s="79"/>
      <c r="X25" s="79"/>
      <c r="Y25" s="79"/>
      <c r="Z25" s="79"/>
      <c r="AA25" s="79"/>
      <c r="AB25" s="79"/>
    </row>
    <row r="26" spans="1:28" ht="15.75" customHeight="1">
      <c r="A26" s="62"/>
      <c r="B26" s="62"/>
      <c r="C26" s="62"/>
      <c r="D26" s="79"/>
      <c r="E26" s="119"/>
      <c r="F26" s="182"/>
      <c r="G26" s="181"/>
      <c r="H26" s="183"/>
      <c r="I26" s="181"/>
      <c r="J26" s="185"/>
      <c r="K26" s="184"/>
      <c r="L26" s="201"/>
      <c r="M26" s="201"/>
      <c r="N26" s="182"/>
      <c r="O26" s="163"/>
      <c r="P26" s="183"/>
      <c r="Q26" s="163"/>
      <c r="R26" s="176"/>
      <c r="S26" s="184"/>
      <c r="T26" s="79"/>
      <c r="U26" s="79"/>
      <c r="V26" s="79"/>
      <c r="W26" s="79"/>
      <c r="X26" s="79"/>
      <c r="Y26" s="79"/>
      <c r="Z26" s="79"/>
      <c r="AA26" s="79"/>
      <c r="AB26" s="79"/>
    </row>
    <row r="27" spans="1:28" ht="15.75" customHeight="1">
      <c r="A27" s="62"/>
      <c r="B27" s="62"/>
      <c r="C27" s="62"/>
      <c r="D27" s="79"/>
      <c r="E27" s="119"/>
      <c r="F27" s="182"/>
      <c r="G27" s="163"/>
      <c r="H27" s="183"/>
      <c r="I27" s="163"/>
      <c r="J27" s="176"/>
      <c r="K27" s="184"/>
      <c r="L27" s="201"/>
      <c r="M27" s="201"/>
      <c r="N27" s="182"/>
      <c r="O27" s="181"/>
      <c r="P27" s="183"/>
      <c r="Q27" s="181"/>
      <c r="R27" s="185"/>
      <c r="S27" s="184"/>
      <c r="T27" s="79"/>
      <c r="U27" s="79"/>
      <c r="V27" s="79"/>
      <c r="W27" s="79"/>
      <c r="X27" s="79"/>
      <c r="Y27" s="79"/>
      <c r="Z27" s="79"/>
      <c r="AA27" s="79"/>
      <c r="AB27" s="79"/>
    </row>
    <row r="28" spans="1:28" ht="15.75" customHeight="1">
      <c r="A28" s="62"/>
      <c r="B28" s="62"/>
      <c r="C28" s="62"/>
      <c r="D28" s="79"/>
      <c r="E28" s="119"/>
      <c r="F28" s="182"/>
      <c r="G28" s="186"/>
      <c r="H28" s="183"/>
      <c r="I28" s="186"/>
      <c r="J28" s="187"/>
      <c r="K28" s="184"/>
      <c r="L28" s="201"/>
      <c r="M28" s="201"/>
      <c r="N28" s="182"/>
      <c r="O28" s="163"/>
      <c r="P28" s="183"/>
      <c r="Q28" s="163"/>
      <c r="R28" s="176"/>
      <c r="S28" s="184"/>
      <c r="T28" s="79"/>
      <c r="U28" s="79"/>
      <c r="V28" s="79"/>
      <c r="W28" s="79"/>
      <c r="X28" s="79"/>
      <c r="Y28" s="79"/>
      <c r="Z28" s="79"/>
      <c r="AA28" s="79"/>
      <c r="AB28" s="79"/>
    </row>
    <row r="29" spans="1:28" ht="15.75" customHeight="1">
      <c r="A29" s="62"/>
      <c r="B29" s="62"/>
      <c r="C29" s="62"/>
      <c r="D29" s="79"/>
      <c r="E29" s="119"/>
      <c r="F29" s="182"/>
      <c r="G29" s="163"/>
      <c r="H29" s="183"/>
      <c r="I29" s="163"/>
      <c r="J29" s="176"/>
      <c r="K29" s="184"/>
      <c r="L29" s="201"/>
      <c r="M29" s="201"/>
      <c r="N29" s="182"/>
      <c r="O29" s="186"/>
      <c r="P29" s="183"/>
      <c r="Q29" s="186"/>
      <c r="R29" s="187"/>
      <c r="S29" s="184"/>
      <c r="T29" s="79"/>
      <c r="U29" s="79"/>
      <c r="V29" s="79"/>
      <c r="W29" s="79"/>
      <c r="X29" s="79"/>
      <c r="Y29" s="79"/>
      <c r="Z29" s="79"/>
      <c r="AA29" s="79"/>
      <c r="AB29" s="79"/>
    </row>
    <row r="30" spans="1:28" ht="15.75" customHeight="1">
      <c r="A30" s="62"/>
      <c r="B30" s="62"/>
      <c r="C30" s="62"/>
      <c r="D30" s="79"/>
      <c r="E30" s="119"/>
      <c r="F30" s="182"/>
      <c r="G30" s="181"/>
      <c r="H30" s="183"/>
      <c r="I30" s="181"/>
      <c r="J30" s="185"/>
      <c r="K30" s="184"/>
      <c r="L30" s="201"/>
      <c r="M30" s="201"/>
      <c r="N30" s="182"/>
      <c r="O30" s="163"/>
      <c r="P30" s="183"/>
      <c r="Q30" s="163"/>
      <c r="R30" s="176"/>
      <c r="S30" s="184"/>
      <c r="T30" s="79"/>
      <c r="U30" s="79"/>
      <c r="V30" s="79"/>
      <c r="W30" s="79"/>
      <c r="X30" s="79"/>
      <c r="Y30" s="79"/>
      <c r="Z30" s="79"/>
      <c r="AA30" s="79"/>
      <c r="AB30" s="79"/>
    </row>
    <row r="31" spans="1:28" ht="15.75" customHeight="1">
      <c r="A31" s="62"/>
      <c r="B31" s="62"/>
      <c r="C31" s="62"/>
      <c r="D31" s="79"/>
      <c r="E31" s="119"/>
      <c r="F31" s="182"/>
      <c r="G31" s="163"/>
      <c r="H31" s="183"/>
      <c r="I31" s="163"/>
      <c r="J31" s="176"/>
      <c r="K31" s="184"/>
      <c r="L31" s="201"/>
      <c r="M31" s="201"/>
      <c r="N31" s="182"/>
      <c r="O31" s="186"/>
      <c r="P31" s="183"/>
      <c r="Q31" s="186"/>
      <c r="R31" s="187"/>
      <c r="S31" s="184"/>
      <c r="T31" s="79"/>
      <c r="U31" s="79"/>
      <c r="V31" s="79"/>
      <c r="W31" s="79"/>
      <c r="X31" s="79"/>
      <c r="Y31" s="79"/>
      <c r="Z31" s="79"/>
      <c r="AA31" s="79"/>
      <c r="AB31" s="79"/>
    </row>
    <row r="32" spans="1:28" ht="15.75" customHeight="1">
      <c r="A32" s="62"/>
      <c r="B32" s="62"/>
      <c r="C32" s="62"/>
      <c r="D32" s="79"/>
      <c r="E32" s="119"/>
      <c r="F32" s="182"/>
      <c r="G32" s="186"/>
      <c r="H32" s="183"/>
      <c r="I32" s="186"/>
      <c r="J32" s="187"/>
      <c r="K32" s="184"/>
      <c r="L32" s="201"/>
      <c r="M32" s="201"/>
      <c r="N32" s="182"/>
      <c r="O32" s="186"/>
      <c r="P32" s="183"/>
      <c r="Q32" s="186"/>
      <c r="R32" s="187"/>
      <c r="S32" s="184"/>
      <c r="T32" s="79"/>
      <c r="U32" s="79"/>
      <c r="V32" s="79"/>
      <c r="W32" s="79"/>
      <c r="X32" s="79"/>
      <c r="Y32" s="79"/>
      <c r="Z32" s="79"/>
      <c r="AA32" s="79"/>
      <c r="AB32" s="79"/>
    </row>
    <row r="33" spans="1:28" ht="15.75" customHeight="1">
      <c r="A33" s="62"/>
      <c r="B33" s="62"/>
      <c r="C33" s="62"/>
      <c r="D33" s="79"/>
      <c r="E33" s="119"/>
      <c r="F33" s="182"/>
      <c r="G33" s="186"/>
      <c r="H33" s="183"/>
      <c r="I33" s="186"/>
      <c r="J33" s="187"/>
      <c r="K33" s="184"/>
      <c r="L33" s="201"/>
      <c r="M33" s="201"/>
      <c r="N33" s="182"/>
      <c r="O33" s="163"/>
      <c r="P33" s="183"/>
      <c r="Q33" s="163"/>
      <c r="R33" s="176"/>
      <c r="S33" s="184"/>
      <c r="T33" s="79"/>
      <c r="U33" s="79"/>
      <c r="V33" s="79"/>
      <c r="W33" s="79"/>
      <c r="X33" s="79"/>
      <c r="Y33" s="79"/>
      <c r="Z33" s="79"/>
      <c r="AA33" s="79"/>
      <c r="AB33" s="79"/>
    </row>
    <row r="34" spans="1:28" ht="15.75" customHeight="1">
      <c r="A34" s="62"/>
      <c r="B34" s="62"/>
      <c r="C34" s="62"/>
      <c r="D34" s="79"/>
      <c r="E34" s="119"/>
      <c r="F34" s="182"/>
      <c r="G34" s="163"/>
      <c r="H34" s="183"/>
      <c r="I34" s="163"/>
      <c r="J34" s="176"/>
      <c r="K34" s="184"/>
      <c r="L34" s="201"/>
      <c r="M34" s="201"/>
      <c r="N34" s="182"/>
      <c r="O34" s="181"/>
      <c r="P34" s="183"/>
      <c r="Q34" s="181"/>
      <c r="R34" s="185"/>
      <c r="S34" s="184"/>
      <c r="T34" s="79"/>
      <c r="U34" s="79"/>
      <c r="V34" s="79"/>
      <c r="W34" s="79"/>
      <c r="X34" s="79"/>
      <c r="Y34" s="79"/>
      <c r="Z34" s="79"/>
      <c r="AA34" s="79"/>
      <c r="AB34" s="79"/>
    </row>
    <row r="35" spans="1:28" ht="15.75" customHeight="1">
      <c r="A35" s="62"/>
      <c r="B35" s="62"/>
      <c r="C35" s="62"/>
      <c r="D35" s="79"/>
      <c r="E35" s="119"/>
      <c r="F35" s="182"/>
      <c r="G35" s="181"/>
      <c r="H35" s="183"/>
      <c r="I35" s="181"/>
      <c r="J35" s="185"/>
      <c r="K35" s="184"/>
      <c r="L35" s="201"/>
      <c r="M35" s="201"/>
      <c r="N35" s="182"/>
      <c r="O35" s="163"/>
      <c r="P35" s="183"/>
      <c r="Q35" s="163"/>
      <c r="R35" s="176"/>
      <c r="S35" s="184"/>
      <c r="T35" s="79"/>
      <c r="U35" s="79"/>
      <c r="V35" s="79"/>
      <c r="W35" s="79"/>
      <c r="X35" s="79"/>
      <c r="Y35" s="79"/>
      <c r="Z35" s="79"/>
      <c r="AA35" s="79"/>
      <c r="AB35" s="79"/>
    </row>
    <row r="36" spans="1:28" ht="15.75" customHeight="1">
      <c r="A36" s="62"/>
      <c r="B36" s="62"/>
      <c r="C36" s="62"/>
      <c r="D36" s="79"/>
      <c r="E36" s="119"/>
      <c r="F36" s="182"/>
      <c r="G36" s="163"/>
      <c r="H36" s="183"/>
      <c r="I36" s="163"/>
      <c r="J36" s="176"/>
      <c r="K36" s="184"/>
      <c r="L36" s="201"/>
      <c r="M36" s="201"/>
      <c r="N36" s="182"/>
      <c r="O36" s="186"/>
      <c r="P36" s="183"/>
      <c r="Q36" s="186"/>
      <c r="R36" s="187"/>
      <c r="S36" s="184"/>
      <c r="T36" s="79"/>
      <c r="U36" s="79"/>
      <c r="V36" s="79"/>
      <c r="W36" s="79"/>
      <c r="X36" s="79"/>
      <c r="Y36" s="79"/>
      <c r="Z36" s="79"/>
      <c r="AA36" s="79"/>
      <c r="AB36" s="79"/>
    </row>
    <row r="37" spans="1:28" ht="15.75" customHeight="1">
      <c r="A37" s="62"/>
      <c r="B37" s="62"/>
      <c r="C37" s="62"/>
      <c r="D37" s="79"/>
      <c r="E37" s="119"/>
      <c r="F37" s="182"/>
      <c r="G37" s="186"/>
      <c r="H37" s="183"/>
      <c r="I37" s="186"/>
      <c r="J37" s="187"/>
      <c r="K37" s="184"/>
      <c r="L37" s="201"/>
      <c r="M37" s="201"/>
      <c r="N37" s="182"/>
      <c r="O37" s="163"/>
      <c r="P37" s="183"/>
      <c r="Q37" s="163"/>
      <c r="R37" s="176"/>
      <c r="S37" s="184"/>
    </row>
    <row r="38" spans="1:28" ht="15.75" customHeight="1">
      <c r="A38" s="62"/>
      <c r="B38" s="62"/>
      <c r="C38" s="62"/>
      <c r="D38" s="79"/>
      <c r="E38" s="119"/>
      <c r="F38" s="182"/>
      <c r="G38" s="163"/>
      <c r="H38" s="183"/>
      <c r="I38" s="163"/>
      <c r="J38" s="176"/>
      <c r="K38" s="184"/>
      <c r="L38" s="201"/>
      <c r="M38" s="201"/>
      <c r="N38" s="182"/>
      <c r="O38" s="186"/>
      <c r="P38" s="183"/>
      <c r="Q38" s="186"/>
      <c r="R38" s="187"/>
      <c r="S38" s="184"/>
    </row>
    <row r="39" spans="1:28" ht="15.75" customHeight="1">
      <c r="A39" s="62"/>
      <c r="B39" s="62"/>
      <c r="C39" s="62"/>
      <c r="D39" s="79"/>
      <c r="E39" s="119"/>
      <c r="F39" s="182"/>
      <c r="G39" s="186"/>
      <c r="H39" s="183"/>
      <c r="I39" s="186"/>
      <c r="J39" s="187"/>
      <c r="K39" s="184"/>
      <c r="L39" s="201"/>
      <c r="M39" s="201"/>
      <c r="N39" s="182"/>
      <c r="O39" s="163"/>
      <c r="P39" s="183"/>
      <c r="Q39" s="163"/>
      <c r="R39" s="176"/>
      <c r="S39" s="184"/>
      <c r="T39" s="201"/>
    </row>
    <row r="40" spans="1:28" ht="15.75" customHeight="1">
      <c r="A40" s="62"/>
      <c r="B40" s="62"/>
      <c r="C40" s="62"/>
      <c r="D40" s="79"/>
      <c r="E40" s="119"/>
      <c r="F40" s="182"/>
      <c r="G40" s="186"/>
      <c r="H40" s="183"/>
      <c r="I40" s="186"/>
      <c r="J40" s="187"/>
      <c r="K40" s="184"/>
      <c r="L40" s="201"/>
      <c r="M40" s="201"/>
      <c r="N40" s="182"/>
      <c r="O40" s="181"/>
      <c r="P40" s="183"/>
      <c r="Q40" s="181"/>
      <c r="R40" s="185"/>
      <c r="S40" s="184"/>
      <c r="T40" s="201"/>
    </row>
    <row r="41" spans="1:28" ht="15.75" customHeight="1">
      <c r="A41" s="62"/>
      <c r="B41" s="62"/>
      <c r="C41" s="62"/>
      <c r="D41" s="79"/>
      <c r="E41" s="119"/>
      <c r="F41" s="182"/>
      <c r="G41" s="163"/>
      <c r="H41" s="183"/>
      <c r="I41" s="163"/>
      <c r="J41" s="176"/>
      <c r="K41" s="184"/>
      <c r="L41" s="201"/>
      <c r="M41" s="201"/>
      <c r="N41" s="182"/>
      <c r="O41" s="163"/>
      <c r="P41" s="183"/>
      <c r="Q41" s="163"/>
      <c r="R41" s="176"/>
      <c r="S41" s="184"/>
      <c r="T41" s="201"/>
    </row>
    <row r="42" spans="1:28" ht="15.75" customHeight="1">
      <c r="A42" s="62"/>
      <c r="B42" s="62"/>
      <c r="C42" s="62"/>
      <c r="D42" s="79"/>
      <c r="E42" s="130"/>
      <c r="F42" s="182"/>
      <c r="G42" s="181"/>
      <c r="H42" s="183"/>
      <c r="I42" s="181"/>
      <c r="J42" s="185"/>
      <c r="K42" s="184"/>
      <c r="L42" s="201"/>
      <c r="M42" s="201"/>
      <c r="N42" s="182"/>
      <c r="O42" s="186"/>
      <c r="P42" s="183"/>
      <c r="Q42" s="186"/>
      <c r="R42" s="187"/>
      <c r="S42" s="184"/>
      <c r="T42" s="201"/>
    </row>
    <row r="43" spans="1:28" ht="15.75" customHeight="1">
      <c r="A43" s="62"/>
      <c r="B43" s="62"/>
      <c r="C43" s="62"/>
      <c r="D43" s="79"/>
      <c r="E43" s="86"/>
      <c r="F43" s="182"/>
      <c r="G43" s="163"/>
      <c r="H43" s="183"/>
      <c r="I43" s="163"/>
      <c r="J43" s="176"/>
      <c r="K43" s="184"/>
      <c r="L43" s="201"/>
      <c r="M43" s="201"/>
      <c r="N43" s="182"/>
      <c r="O43" s="163"/>
      <c r="P43" s="183"/>
      <c r="Q43" s="163"/>
      <c r="R43" s="176"/>
      <c r="S43" s="184"/>
      <c r="T43" s="201"/>
    </row>
    <row r="44" spans="1:28" ht="15.75" customHeight="1">
      <c r="A44" s="62"/>
      <c r="B44" s="62"/>
      <c r="C44" s="62"/>
      <c r="D44" s="79"/>
      <c r="E44" s="86"/>
      <c r="F44" s="182"/>
      <c r="G44" s="186"/>
      <c r="H44" s="183"/>
      <c r="I44" s="186"/>
      <c r="J44" s="187"/>
      <c r="K44" s="184"/>
      <c r="L44" s="201"/>
      <c r="M44" s="201"/>
      <c r="N44" s="182"/>
      <c r="O44" s="186"/>
      <c r="P44" s="183"/>
      <c r="Q44" s="186"/>
      <c r="R44" s="187"/>
      <c r="S44" s="184"/>
      <c r="T44" s="201"/>
    </row>
    <row r="45" spans="1:28" ht="15.75" customHeight="1">
      <c r="D45" s="79"/>
      <c r="E45" s="86"/>
      <c r="F45" s="182"/>
      <c r="G45" s="163"/>
      <c r="H45" s="183"/>
      <c r="I45" s="163"/>
      <c r="J45" s="176"/>
      <c r="K45" s="184"/>
      <c r="L45" s="201"/>
      <c r="M45" s="201"/>
      <c r="N45" s="182"/>
      <c r="O45" s="163"/>
      <c r="P45" s="183"/>
      <c r="Q45" s="163"/>
      <c r="R45" s="176"/>
      <c r="S45" s="184"/>
      <c r="T45" s="201"/>
    </row>
    <row r="46" spans="1:28" ht="15.75" customHeight="1">
      <c r="D46" s="79"/>
      <c r="E46" s="86"/>
      <c r="F46" s="182"/>
      <c r="G46" s="186"/>
      <c r="H46" s="183"/>
      <c r="I46" s="186"/>
      <c r="J46" s="187"/>
      <c r="K46" s="184"/>
      <c r="L46" s="201"/>
      <c r="M46" s="201"/>
      <c r="N46" s="182"/>
      <c r="O46" s="186"/>
      <c r="P46" s="183"/>
      <c r="Q46" s="186"/>
      <c r="R46" s="187"/>
      <c r="S46" s="184"/>
      <c r="T46" s="201"/>
    </row>
    <row r="47" spans="1:28" ht="15.75" customHeight="1">
      <c r="F47" s="182"/>
      <c r="G47" s="163"/>
      <c r="H47" s="183"/>
      <c r="I47" s="163"/>
      <c r="J47" s="176"/>
      <c r="K47" s="184"/>
      <c r="L47" s="201"/>
      <c r="M47" s="201"/>
      <c r="N47" s="182"/>
      <c r="O47" s="163"/>
      <c r="P47" s="183"/>
      <c r="Q47" s="163"/>
      <c r="R47" s="176"/>
      <c r="S47" s="184"/>
      <c r="T47" s="201"/>
    </row>
    <row r="48" spans="1:28" ht="15.75" customHeight="1">
      <c r="F48" s="182"/>
      <c r="G48" s="181"/>
      <c r="H48" s="183"/>
      <c r="I48" s="181"/>
      <c r="J48" s="185"/>
      <c r="K48" s="184"/>
      <c r="L48" s="201"/>
      <c r="M48" s="201"/>
      <c r="N48" s="182"/>
      <c r="O48" s="181"/>
      <c r="P48" s="183"/>
      <c r="Q48" s="181"/>
      <c r="R48" s="185"/>
      <c r="S48" s="184"/>
      <c r="T48" s="201"/>
    </row>
    <row r="49" spans="6:20" ht="15.75" customHeight="1">
      <c r="F49" s="182"/>
      <c r="G49" s="163"/>
      <c r="H49" s="183"/>
      <c r="I49" s="163"/>
      <c r="J49" s="176"/>
      <c r="K49" s="184"/>
      <c r="L49" s="201"/>
      <c r="M49" s="201"/>
      <c r="N49" s="182"/>
      <c r="O49" s="163"/>
      <c r="P49" s="183"/>
      <c r="Q49" s="163"/>
      <c r="R49" s="176"/>
      <c r="S49" s="184"/>
      <c r="T49" s="201"/>
    </row>
    <row r="50" spans="6:20" ht="15.75" customHeight="1">
      <c r="F50" s="182"/>
      <c r="G50" s="186"/>
      <c r="H50" s="183"/>
      <c r="I50" s="186"/>
      <c r="J50" s="187"/>
      <c r="K50" s="184"/>
      <c r="L50" s="201"/>
      <c r="M50" s="201"/>
      <c r="N50" s="182"/>
      <c r="O50" s="186"/>
      <c r="P50" s="183"/>
      <c r="Q50" s="186"/>
      <c r="R50" s="187"/>
      <c r="S50" s="184"/>
      <c r="T50" s="201"/>
    </row>
    <row r="51" spans="6:20" ht="15.75" customHeight="1">
      <c r="F51" s="182"/>
      <c r="G51" s="163"/>
      <c r="H51" s="183"/>
      <c r="I51" s="163"/>
      <c r="J51" s="176"/>
      <c r="K51" s="184"/>
      <c r="L51" s="201"/>
      <c r="M51" s="201"/>
      <c r="N51" s="182"/>
      <c r="O51" s="163"/>
      <c r="P51" s="183"/>
      <c r="Q51" s="163"/>
      <c r="R51" s="176"/>
      <c r="S51" s="184"/>
      <c r="T51" s="201"/>
    </row>
    <row r="52" spans="6:20" ht="15.75" customHeight="1">
      <c r="F52" s="182"/>
      <c r="G52" s="186"/>
      <c r="H52" s="183"/>
      <c r="I52" s="186"/>
      <c r="J52" s="187"/>
      <c r="K52" s="184"/>
      <c r="L52" s="201"/>
      <c r="M52" s="201"/>
      <c r="N52" s="182"/>
      <c r="O52" s="186"/>
      <c r="P52" s="183"/>
      <c r="Q52" s="186"/>
      <c r="R52" s="187"/>
      <c r="S52" s="184"/>
      <c r="T52" s="201"/>
    </row>
    <row r="53" spans="6:20" ht="15.75" customHeight="1">
      <c r="F53" s="182"/>
      <c r="G53" s="163"/>
      <c r="H53" s="183"/>
      <c r="I53" s="163"/>
      <c r="J53" s="176"/>
      <c r="K53" s="184"/>
      <c r="L53" s="201"/>
      <c r="M53" s="201"/>
      <c r="N53" s="182"/>
      <c r="O53" s="186"/>
      <c r="P53" s="183"/>
      <c r="Q53" s="186"/>
      <c r="R53" s="187"/>
      <c r="S53" s="184"/>
      <c r="T53" s="201"/>
    </row>
    <row r="54" spans="6:20" ht="15.75" customHeight="1">
      <c r="F54" s="182"/>
      <c r="G54" s="186"/>
      <c r="H54" s="183"/>
      <c r="I54" s="186"/>
      <c r="J54" s="187"/>
      <c r="K54" s="184"/>
      <c r="L54" s="201"/>
      <c r="M54" s="201"/>
      <c r="N54" s="182"/>
      <c r="O54" s="163"/>
      <c r="P54" s="183"/>
      <c r="Q54" s="163"/>
      <c r="R54" s="176"/>
      <c r="S54" s="184"/>
      <c r="T54" s="201"/>
    </row>
    <row r="55" spans="6:20" ht="15.75" customHeight="1">
      <c r="F55" s="182"/>
      <c r="G55" s="163"/>
      <c r="H55" s="183"/>
      <c r="I55" s="163"/>
      <c r="J55" s="176"/>
      <c r="K55" s="184"/>
      <c r="L55" s="201"/>
      <c r="M55" s="201"/>
      <c r="N55" s="182"/>
      <c r="O55" s="181"/>
      <c r="P55" s="183"/>
      <c r="Q55" s="181"/>
      <c r="R55" s="185"/>
      <c r="S55" s="184"/>
      <c r="T55" s="201"/>
    </row>
    <row r="56" spans="6:20" ht="15.75" customHeight="1">
      <c r="F56" s="182"/>
      <c r="G56" s="181"/>
      <c r="H56" s="183"/>
      <c r="I56" s="181"/>
      <c r="J56" s="185"/>
      <c r="K56" s="184"/>
      <c r="L56" s="201"/>
      <c r="M56" s="201"/>
      <c r="N56" s="182"/>
      <c r="O56" s="163"/>
      <c r="P56" s="183"/>
      <c r="Q56" s="163"/>
      <c r="R56" s="176"/>
      <c r="S56" s="184"/>
      <c r="T56" s="201"/>
    </row>
    <row r="57" spans="6:20" ht="15.75" customHeight="1">
      <c r="F57" s="182"/>
      <c r="G57" s="163"/>
      <c r="H57" s="183"/>
      <c r="I57" s="163"/>
      <c r="J57" s="176"/>
      <c r="K57" s="184"/>
      <c r="L57" s="201"/>
      <c r="M57" s="201"/>
      <c r="N57" s="182"/>
      <c r="O57" s="186"/>
      <c r="P57" s="183"/>
      <c r="Q57" s="186"/>
      <c r="R57" s="187"/>
      <c r="S57" s="184"/>
      <c r="T57" s="201"/>
    </row>
    <row r="58" spans="6:20" ht="15.75" customHeight="1">
      <c r="F58" s="182"/>
      <c r="G58" s="186"/>
      <c r="H58" s="183"/>
      <c r="I58" s="186"/>
      <c r="J58" s="187"/>
      <c r="K58" s="184"/>
      <c r="L58" s="201"/>
      <c r="M58" s="201"/>
      <c r="N58" s="182"/>
      <c r="O58" s="163"/>
      <c r="P58" s="183"/>
      <c r="Q58" s="163"/>
      <c r="R58" s="176"/>
      <c r="S58" s="184"/>
      <c r="T58" s="201"/>
    </row>
    <row r="59" spans="6:20" ht="15.75" customHeight="1">
      <c r="F59" s="182"/>
      <c r="G59" s="163"/>
      <c r="H59" s="183"/>
      <c r="I59" s="163"/>
      <c r="J59" s="176"/>
      <c r="K59" s="184"/>
      <c r="L59" s="201"/>
      <c r="M59" s="201"/>
      <c r="N59" s="182"/>
      <c r="O59" s="186"/>
      <c r="P59" s="183"/>
      <c r="Q59" s="186"/>
      <c r="R59" s="187"/>
      <c r="S59" s="184"/>
      <c r="T59" s="201"/>
    </row>
    <row r="60" spans="6:20" ht="15.75" customHeight="1">
      <c r="F60" s="182"/>
      <c r="G60" s="186"/>
      <c r="H60" s="183"/>
      <c r="I60" s="186"/>
      <c r="J60" s="187"/>
      <c r="K60" s="184"/>
      <c r="L60" s="201"/>
      <c r="M60" s="201"/>
      <c r="N60" s="182"/>
      <c r="O60" s="163"/>
      <c r="P60" s="183"/>
      <c r="Q60" s="163"/>
      <c r="R60" s="176"/>
      <c r="S60" s="184"/>
      <c r="T60" s="201"/>
    </row>
    <row r="61" spans="6:20" ht="15.75" customHeight="1">
      <c r="F61" s="182"/>
      <c r="G61" s="163"/>
      <c r="H61" s="183"/>
      <c r="I61" s="163"/>
      <c r="J61" s="176"/>
      <c r="K61" s="184"/>
      <c r="L61" s="201"/>
      <c r="M61" s="201"/>
      <c r="N61" s="182"/>
      <c r="O61" s="181"/>
      <c r="P61" s="183"/>
      <c r="Q61" s="181"/>
      <c r="R61" s="185"/>
      <c r="S61" s="184"/>
      <c r="T61" s="201"/>
    </row>
    <row r="62" spans="6:20" ht="15.75" customHeight="1">
      <c r="F62" s="182"/>
      <c r="G62" s="181"/>
      <c r="H62" s="183"/>
      <c r="I62" s="181"/>
      <c r="J62" s="185"/>
      <c r="K62" s="184"/>
      <c r="L62" s="201"/>
      <c r="M62" s="201"/>
      <c r="N62" s="182"/>
      <c r="O62" s="163"/>
      <c r="P62" s="183"/>
      <c r="Q62" s="163"/>
      <c r="R62" s="176"/>
      <c r="S62" s="184"/>
      <c r="T62" s="201"/>
    </row>
    <row r="63" spans="6:20" ht="15.75" customHeight="1">
      <c r="F63" s="182"/>
      <c r="G63" s="163"/>
      <c r="H63" s="183"/>
      <c r="I63" s="163"/>
      <c r="J63" s="176"/>
      <c r="K63" s="184"/>
      <c r="L63" s="201"/>
      <c r="M63" s="201"/>
      <c r="N63" s="182"/>
      <c r="O63" s="186"/>
      <c r="P63" s="183"/>
      <c r="Q63" s="186"/>
      <c r="R63" s="187"/>
      <c r="S63" s="184"/>
      <c r="T63" s="201"/>
    </row>
    <row r="64" spans="6:20" ht="15.75" customHeight="1">
      <c r="F64" s="182"/>
      <c r="G64" s="186"/>
      <c r="H64" s="183"/>
      <c r="I64" s="186"/>
      <c r="J64" s="187"/>
      <c r="K64" s="184"/>
      <c r="L64" s="201"/>
      <c r="M64" s="201"/>
      <c r="N64" s="182"/>
      <c r="O64" s="163"/>
      <c r="P64" s="183"/>
      <c r="Q64" s="163"/>
      <c r="R64" s="176"/>
      <c r="S64" s="184"/>
      <c r="T64" s="201"/>
    </row>
    <row r="65" spans="6:29" ht="15.75" customHeight="1">
      <c r="F65" s="182"/>
      <c r="G65" s="163"/>
      <c r="H65" s="183"/>
      <c r="I65" s="163"/>
      <c r="J65" s="176"/>
      <c r="K65" s="184"/>
      <c r="L65" s="201"/>
      <c r="M65" s="201"/>
      <c r="N65" s="182"/>
      <c r="O65" s="186"/>
      <c r="P65" s="183"/>
      <c r="Q65" s="186"/>
      <c r="R65" s="187"/>
      <c r="S65" s="184"/>
      <c r="T65" s="201"/>
    </row>
    <row r="66" spans="6:29" ht="15.75" customHeight="1">
      <c r="F66" s="182"/>
      <c r="G66" s="186"/>
      <c r="H66" s="183"/>
      <c r="I66" s="186"/>
      <c r="J66" s="187"/>
      <c r="K66" s="184"/>
      <c r="L66" s="201"/>
      <c r="M66" s="201"/>
      <c r="N66" s="182"/>
      <c r="O66" s="186"/>
      <c r="P66" s="183"/>
      <c r="Q66" s="186"/>
      <c r="R66" s="187"/>
      <c r="S66" s="184"/>
      <c r="T66" s="201"/>
      <c r="U66" s="201"/>
      <c r="V66" s="201"/>
      <c r="W66" s="201"/>
      <c r="X66" s="201"/>
      <c r="Y66" s="201"/>
      <c r="Z66" s="201"/>
      <c r="AA66" s="201"/>
      <c r="AB66" s="201"/>
      <c r="AC66" s="201"/>
    </row>
    <row r="67" spans="6:29" ht="15.75" customHeight="1">
      <c r="F67" s="182"/>
      <c r="G67" s="163"/>
      <c r="H67" s="183"/>
      <c r="I67" s="163"/>
      <c r="J67" s="176"/>
      <c r="K67" s="184"/>
      <c r="L67" s="201"/>
      <c r="M67" s="201"/>
      <c r="N67" s="182"/>
      <c r="O67" s="163"/>
      <c r="P67" s="183"/>
      <c r="Q67" s="163"/>
      <c r="R67" s="176"/>
      <c r="S67" s="184"/>
      <c r="T67" s="201"/>
      <c r="U67" s="201"/>
      <c r="V67" s="201"/>
      <c r="W67" s="201"/>
      <c r="X67" s="201"/>
      <c r="Y67" s="201"/>
      <c r="Z67" s="201"/>
      <c r="AA67" s="201"/>
      <c r="AB67" s="201"/>
      <c r="AC67" s="201"/>
    </row>
    <row r="68" spans="6:29" ht="15.75" customHeight="1">
      <c r="F68" s="182"/>
      <c r="G68" s="181"/>
      <c r="H68" s="183"/>
      <c r="I68" s="181"/>
      <c r="J68" s="185"/>
      <c r="K68" s="184"/>
      <c r="L68" s="201"/>
      <c r="M68" s="201"/>
      <c r="N68" s="182"/>
      <c r="O68" s="181"/>
      <c r="P68" s="183"/>
      <c r="Q68" s="181"/>
      <c r="R68" s="185"/>
      <c r="S68" s="184"/>
      <c r="T68" s="201"/>
      <c r="U68" s="201"/>
      <c r="V68" s="201"/>
      <c r="W68" s="201"/>
      <c r="X68" s="201"/>
      <c r="Y68" s="201"/>
      <c r="Z68" s="201"/>
      <c r="AA68" s="201"/>
      <c r="AB68" s="201"/>
      <c r="AC68" s="201"/>
    </row>
    <row r="69" spans="6:29" ht="15.75" customHeight="1">
      <c r="F69" s="182"/>
      <c r="G69" s="163"/>
      <c r="H69" s="183"/>
      <c r="I69" s="163"/>
      <c r="J69" s="176"/>
      <c r="K69" s="184"/>
      <c r="L69" s="201"/>
      <c r="M69" s="201"/>
      <c r="N69" s="182"/>
      <c r="O69" s="163"/>
      <c r="P69" s="183"/>
      <c r="Q69" s="163"/>
      <c r="R69" s="176"/>
      <c r="S69" s="184"/>
      <c r="T69" s="201"/>
      <c r="U69" s="201"/>
      <c r="V69" s="201"/>
      <c r="W69" s="201"/>
      <c r="X69" s="201"/>
      <c r="Y69" s="201"/>
      <c r="Z69" s="201"/>
      <c r="AA69" s="201"/>
      <c r="AB69" s="201"/>
      <c r="AC69" s="201"/>
    </row>
    <row r="70" spans="6:29" ht="15.75" customHeight="1">
      <c r="F70" s="182"/>
      <c r="G70" s="186"/>
      <c r="H70" s="183"/>
      <c r="I70" s="186"/>
      <c r="J70" s="187"/>
      <c r="K70" s="184"/>
      <c r="L70" s="201"/>
      <c r="M70" s="201"/>
      <c r="N70" s="182"/>
      <c r="O70" s="186"/>
      <c r="P70" s="183"/>
      <c r="Q70" s="186"/>
      <c r="R70" s="187"/>
      <c r="S70" s="184"/>
      <c r="T70" s="201"/>
      <c r="U70" s="201"/>
      <c r="V70" s="201"/>
      <c r="W70" s="201"/>
      <c r="X70" s="201"/>
      <c r="Y70" s="201"/>
      <c r="Z70" s="201"/>
      <c r="AA70" s="201"/>
      <c r="AB70" s="201"/>
      <c r="AC70" s="201"/>
    </row>
    <row r="71" spans="6:29" ht="15.75" customHeight="1">
      <c r="F71" s="182"/>
      <c r="G71" s="163"/>
      <c r="H71" s="183"/>
      <c r="I71" s="163"/>
      <c r="J71" s="176"/>
      <c r="K71" s="184"/>
      <c r="L71" s="201"/>
      <c r="M71" s="201"/>
      <c r="N71" s="182"/>
      <c r="O71" s="163"/>
      <c r="P71" s="183"/>
      <c r="Q71" s="163"/>
      <c r="R71" s="176"/>
      <c r="S71" s="184"/>
      <c r="T71" s="201"/>
      <c r="U71" s="201"/>
      <c r="V71" s="201"/>
      <c r="W71" s="201"/>
      <c r="X71" s="201"/>
      <c r="Y71" s="201"/>
      <c r="Z71" s="201"/>
      <c r="AA71" s="201"/>
      <c r="AB71" s="201"/>
      <c r="AC71" s="201"/>
    </row>
    <row r="72" spans="6:29" ht="15.75" customHeight="1">
      <c r="F72" s="182"/>
      <c r="G72" s="186"/>
      <c r="H72" s="183"/>
      <c r="I72" s="186"/>
      <c r="J72" s="187"/>
      <c r="K72" s="184"/>
      <c r="L72" s="201"/>
      <c r="M72" s="201"/>
      <c r="N72" s="182"/>
      <c r="O72" s="186"/>
      <c r="P72" s="183"/>
      <c r="Q72" s="186"/>
      <c r="R72" s="187"/>
      <c r="S72" s="184"/>
      <c r="T72" s="201"/>
      <c r="U72" s="201"/>
      <c r="V72" s="201"/>
      <c r="W72" s="201"/>
      <c r="X72" s="201"/>
      <c r="Y72" s="201"/>
      <c r="Z72" s="201"/>
      <c r="AA72" s="201"/>
      <c r="AB72" s="201"/>
      <c r="AC72" s="201"/>
    </row>
    <row r="73" spans="6:29" ht="15.75" customHeight="1">
      <c r="F73" s="182"/>
      <c r="G73" s="163"/>
      <c r="H73" s="183"/>
      <c r="I73" s="163"/>
      <c r="J73" s="176"/>
      <c r="K73" s="184"/>
      <c r="L73" s="201"/>
      <c r="M73" s="201"/>
      <c r="N73" s="182"/>
      <c r="O73" s="163"/>
      <c r="P73" s="183"/>
      <c r="Q73" s="163"/>
      <c r="R73" s="176"/>
      <c r="S73" s="184"/>
      <c r="T73" s="201"/>
      <c r="U73" s="201"/>
      <c r="V73" s="201"/>
      <c r="W73" s="201"/>
      <c r="X73" s="201"/>
      <c r="Y73" s="201"/>
      <c r="Z73" s="201"/>
      <c r="AA73" s="201"/>
      <c r="AB73" s="201"/>
      <c r="AC73" s="201"/>
    </row>
    <row r="74" spans="6:29" ht="15.75" customHeight="1">
      <c r="F74" s="182"/>
      <c r="G74" s="181"/>
      <c r="H74" s="183"/>
      <c r="I74" s="181"/>
      <c r="J74" s="185"/>
      <c r="K74" s="184"/>
      <c r="L74" s="201"/>
      <c r="M74" s="201"/>
      <c r="N74" s="182"/>
      <c r="O74" s="181"/>
      <c r="P74" s="183"/>
      <c r="Q74" s="181"/>
      <c r="R74" s="185"/>
      <c r="S74" s="184"/>
      <c r="T74" s="201"/>
      <c r="U74" s="201"/>
      <c r="V74" s="201"/>
      <c r="W74" s="201"/>
      <c r="X74" s="201"/>
      <c r="Y74" s="201"/>
      <c r="Z74" s="201"/>
      <c r="AA74" s="201"/>
      <c r="AB74" s="201"/>
      <c r="AC74" s="201"/>
    </row>
    <row r="75" spans="6:29" ht="15.75" customHeight="1">
      <c r="F75" s="182"/>
      <c r="G75" s="163"/>
      <c r="H75" s="183"/>
      <c r="I75" s="163"/>
      <c r="J75" s="176"/>
      <c r="K75" s="184"/>
      <c r="L75" s="201"/>
      <c r="M75" s="201"/>
      <c r="N75" s="182"/>
      <c r="O75" s="163"/>
      <c r="P75" s="183"/>
      <c r="Q75" s="163"/>
      <c r="R75" s="176"/>
      <c r="S75" s="184"/>
      <c r="T75" s="201"/>
      <c r="U75" s="201"/>
      <c r="V75" s="201"/>
      <c r="W75" s="201"/>
      <c r="X75" s="201"/>
      <c r="Y75" s="201"/>
      <c r="Z75" s="201"/>
      <c r="AA75" s="201"/>
      <c r="AB75" s="201"/>
      <c r="AC75" s="201"/>
    </row>
    <row r="76" spans="6:29" ht="15.75" customHeight="1">
      <c r="F76" s="182"/>
      <c r="G76" s="186"/>
      <c r="H76" s="183"/>
      <c r="I76" s="186"/>
      <c r="J76" s="187"/>
      <c r="K76" s="184"/>
      <c r="L76" s="201"/>
      <c r="M76" s="201"/>
      <c r="N76" s="182"/>
      <c r="O76" s="186"/>
      <c r="P76" s="183"/>
      <c r="Q76" s="186"/>
      <c r="R76" s="187"/>
      <c r="S76" s="184"/>
      <c r="T76" s="201"/>
      <c r="U76" s="201"/>
      <c r="V76" s="201"/>
      <c r="W76" s="201"/>
      <c r="X76" s="201"/>
      <c r="Y76" s="201"/>
      <c r="Z76" s="201"/>
      <c r="AA76" s="201"/>
      <c r="AB76" s="201"/>
      <c r="AC76" s="201"/>
    </row>
    <row r="77" spans="6:29" ht="15.75" customHeight="1">
      <c r="F77" s="182"/>
      <c r="G77" s="163"/>
      <c r="H77" s="183"/>
      <c r="I77" s="163"/>
      <c r="J77" s="176"/>
      <c r="K77" s="184"/>
      <c r="L77" s="201"/>
      <c r="M77" s="201"/>
      <c r="N77" s="182"/>
      <c r="O77" s="163"/>
      <c r="P77" s="183"/>
      <c r="Q77" s="163"/>
      <c r="R77" s="176"/>
      <c r="S77" s="184"/>
      <c r="T77" s="201"/>
      <c r="U77" s="201"/>
      <c r="V77" s="201"/>
      <c r="W77" s="201"/>
      <c r="X77" s="201"/>
      <c r="Y77" s="201"/>
      <c r="Z77" s="201"/>
      <c r="AA77" s="201"/>
      <c r="AB77" s="201"/>
      <c r="AC77" s="201"/>
    </row>
    <row r="78" spans="6:29" ht="15.75" customHeight="1">
      <c r="F78" s="182"/>
      <c r="G78" s="186"/>
      <c r="H78" s="183"/>
      <c r="I78" s="186"/>
      <c r="J78" s="187"/>
      <c r="K78" s="184"/>
      <c r="L78" s="201"/>
      <c r="M78" s="201"/>
      <c r="N78" s="182"/>
      <c r="O78" s="186"/>
      <c r="P78" s="183"/>
      <c r="Q78" s="186"/>
      <c r="R78" s="187"/>
      <c r="S78" s="184"/>
      <c r="T78" s="201"/>
      <c r="U78" s="201"/>
      <c r="V78" s="201"/>
      <c r="W78" s="201"/>
      <c r="X78" s="201"/>
      <c r="Y78" s="201"/>
      <c r="Z78" s="201"/>
      <c r="AA78" s="201"/>
      <c r="AB78" s="201"/>
      <c r="AC78" s="201"/>
    </row>
    <row r="79" spans="6:29" ht="15.75" customHeight="1">
      <c r="F79" s="182"/>
      <c r="G79" s="163"/>
      <c r="H79" s="183"/>
      <c r="I79" s="163"/>
      <c r="J79" s="176"/>
      <c r="K79" s="184"/>
      <c r="L79" s="201"/>
      <c r="M79" s="201"/>
      <c r="N79" s="182"/>
      <c r="O79" s="163"/>
      <c r="P79" s="183"/>
      <c r="Q79" s="163"/>
      <c r="R79" s="176"/>
      <c r="S79" s="184"/>
      <c r="T79" s="201"/>
      <c r="U79" s="201"/>
      <c r="V79" s="201"/>
      <c r="W79" s="201"/>
      <c r="X79" s="201"/>
      <c r="Y79" s="201"/>
      <c r="Z79" s="201"/>
      <c r="AA79" s="201"/>
      <c r="AB79" s="201"/>
      <c r="AC79" s="201"/>
    </row>
    <row r="80" spans="6:29" ht="15.75" customHeight="1">
      <c r="F80" s="182"/>
      <c r="G80" s="186"/>
      <c r="H80" s="183"/>
      <c r="I80" s="186"/>
      <c r="J80" s="187"/>
      <c r="K80" s="184"/>
      <c r="L80" s="201"/>
      <c r="M80" s="201"/>
      <c r="N80" s="182"/>
      <c r="O80" s="186"/>
      <c r="P80" s="183"/>
      <c r="Q80" s="186"/>
      <c r="R80" s="187"/>
      <c r="S80" s="184"/>
      <c r="T80" s="201"/>
      <c r="U80" s="201"/>
      <c r="V80" s="201"/>
      <c r="W80" s="201"/>
      <c r="X80" s="201"/>
      <c r="Y80" s="201"/>
      <c r="Z80" s="201"/>
      <c r="AA80" s="201"/>
      <c r="AB80" s="201"/>
      <c r="AC80" s="201"/>
    </row>
    <row r="81" spans="6:29" ht="15.75" customHeight="1">
      <c r="F81" s="182"/>
      <c r="G81" s="163"/>
      <c r="H81" s="183"/>
      <c r="I81" s="163"/>
      <c r="J81" s="176"/>
      <c r="K81" s="184"/>
      <c r="L81" s="201"/>
      <c r="M81" s="201"/>
      <c r="N81" s="182"/>
      <c r="O81" s="163"/>
      <c r="P81" s="183"/>
      <c r="Q81" s="163"/>
      <c r="R81" s="176"/>
      <c r="S81" s="184"/>
      <c r="T81" s="201"/>
      <c r="U81" s="201"/>
      <c r="V81" s="201"/>
      <c r="W81" s="201"/>
      <c r="X81" s="201"/>
      <c r="Y81" s="201"/>
      <c r="Z81" s="201"/>
      <c r="AA81" s="201"/>
      <c r="AB81" s="201"/>
      <c r="AC81" s="201"/>
    </row>
    <row r="82" spans="6:29" ht="15.75" customHeight="1">
      <c r="F82" s="182"/>
      <c r="G82" s="181"/>
      <c r="H82" s="183"/>
      <c r="I82" s="181"/>
      <c r="J82" s="185"/>
      <c r="K82" s="184"/>
      <c r="L82" s="201"/>
      <c r="M82" s="201"/>
      <c r="N82" s="182"/>
      <c r="O82" s="181"/>
      <c r="P82" s="183"/>
      <c r="Q82" s="181"/>
      <c r="R82" s="185"/>
      <c r="S82" s="184"/>
      <c r="T82" s="201"/>
      <c r="U82" s="201"/>
      <c r="V82" s="201"/>
      <c r="W82" s="201"/>
      <c r="X82" s="201"/>
      <c r="Y82" s="201"/>
      <c r="Z82" s="201"/>
      <c r="AA82" s="201"/>
      <c r="AB82" s="201"/>
      <c r="AC82" s="201"/>
    </row>
    <row r="83" spans="6:29" ht="15.75" customHeight="1">
      <c r="F83" s="182"/>
      <c r="G83" s="163"/>
      <c r="H83" s="183"/>
      <c r="I83" s="163"/>
      <c r="J83" s="176"/>
      <c r="K83" s="184"/>
      <c r="L83" s="201"/>
      <c r="M83" s="201"/>
      <c r="N83" s="182"/>
      <c r="O83" s="163"/>
      <c r="P83" s="183"/>
      <c r="Q83" s="163"/>
      <c r="R83" s="176"/>
      <c r="S83" s="184"/>
      <c r="T83" s="201"/>
      <c r="U83" s="201"/>
      <c r="V83" s="201"/>
      <c r="W83" s="201"/>
      <c r="X83" s="201"/>
      <c r="Y83" s="201"/>
      <c r="Z83" s="201"/>
      <c r="AA83" s="201"/>
      <c r="AB83" s="201"/>
      <c r="AC83" s="201"/>
    </row>
    <row r="84" spans="6:29" ht="15.75" customHeight="1">
      <c r="F84" s="182"/>
      <c r="G84" s="186"/>
      <c r="H84" s="183"/>
      <c r="I84" s="186"/>
      <c r="J84" s="187"/>
      <c r="K84" s="184"/>
      <c r="L84" s="201"/>
      <c r="M84" s="201"/>
      <c r="N84" s="182"/>
      <c r="O84" s="186"/>
      <c r="P84" s="183"/>
      <c r="Q84" s="186"/>
      <c r="R84" s="187"/>
      <c r="S84" s="184"/>
      <c r="T84" s="201"/>
      <c r="U84" s="201"/>
      <c r="V84" s="201"/>
      <c r="W84" s="201"/>
      <c r="X84" s="201"/>
      <c r="Y84" s="201"/>
      <c r="Z84" s="201"/>
      <c r="AA84" s="201"/>
      <c r="AB84" s="201"/>
      <c r="AC84" s="201"/>
    </row>
    <row r="85" spans="6:29" ht="15.75" customHeight="1">
      <c r="F85" s="182"/>
      <c r="G85" s="163"/>
      <c r="H85" s="183"/>
      <c r="I85" s="163"/>
      <c r="J85" s="176"/>
      <c r="K85" s="184"/>
      <c r="L85" s="201"/>
      <c r="M85" s="201"/>
      <c r="N85" s="182"/>
      <c r="O85" s="163"/>
      <c r="P85" s="183"/>
      <c r="Q85" s="163"/>
      <c r="R85" s="176"/>
      <c r="S85" s="184"/>
      <c r="T85" s="201"/>
      <c r="U85" s="201"/>
      <c r="V85" s="201"/>
      <c r="W85" s="201"/>
      <c r="X85" s="201"/>
      <c r="Y85" s="201"/>
      <c r="Z85" s="201"/>
      <c r="AA85" s="201"/>
      <c r="AB85" s="201"/>
      <c r="AC85" s="201"/>
    </row>
    <row r="86" spans="6:29" ht="15.75" customHeight="1">
      <c r="F86" s="182"/>
      <c r="G86" s="186"/>
      <c r="H86" s="183"/>
      <c r="I86" s="186"/>
      <c r="J86" s="187"/>
      <c r="K86" s="184"/>
      <c r="L86" s="201"/>
      <c r="M86" s="201"/>
      <c r="N86" s="182"/>
      <c r="O86" s="186"/>
      <c r="P86" s="183"/>
      <c r="Q86" s="186"/>
      <c r="R86" s="187"/>
      <c r="S86" s="184"/>
      <c r="T86" s="201"/>
      <c r="U86" s="201"/>
      <c r="V86" s="201"/>
      <c r="W86" s="201"/>
      <c r="X86" s="201"/>
      <c r="Y86" s="201"/>
      <c r="Z86" s="201"/>
      <c r="AA86" s="201"/>
      <c r="AB86" s="201"/>
      <c r="AC86" s="201"/>
    </row>
    <row r="87" spans="6:29" ht="15.75" customHeight="1">
      <c r="F87" s="182"/>
      <c r="G87" s="163"/>
      <c r="H87" s="183"/>
      <c r="I87" s="163"/>
      <c r="J87" s="176"/>
      <c r="K87" s="184"/>
      <c r="L87" s="201"/>
      <c r="M87" s="201"/>
      <c r="N87" s="182"/>
      <c r="O87" s="163"/>
      <c r="P87" s="183"/>
      <c r="Q87" s="163"/>
      <c r="R87" s="176"/>
      <c r="S87" s="184"/>
      <c r="T87" s="201"/>
      <c r="U87" s="201"/>
      <c r="V87" s="201"/>
      <c r="W87" s="201"/>
      <c r="X87" s="201"/>
      <c r="Y87" s="201"/>
      <c r="Z87" s="201"/>
      <c r="AA87" s="201"/>
      <c r="AB87" s="201"/>
      <c r="AC87" s="201"/>
    </row>
    <row r="88" spans="6:29" ht="15.75" customHeight="1">
      <c r="F88" s="182"/>
      <c r="G88" s="181"/>
      <c r="H88" s="183"/>
      <c r="I88" s="181"/>
      <c r="J88" s="185"/>
      <c r="K88" s="184"/>
      <c r="L88" s="201"/>
      <c r="M88" s="201"/>
      <c r="N88" s="182"/>
      <c r="O88" s="181"/>
      <c r="P88" s="183"/>
      <c r="Q88" s="181"/>
      <c r="R88" s="185"/>
      <c r="S88" s="184"/>
      <c r="T88" s="201"/>
      <c r="U88" s="201"/>
      <c r="V88" s="201"/>
      <c r="W88" s="201"/>
      <c r="X88" s="201"/>
      <c r="Y88" s="201"/>
      <c r="Z88" s="201"/>
      <c r="AA88" s="201"/>
      <c r="AB88" s="201"/>
      <c r="AC88" s="201"/>
    </row>
    <row r="89" spans="6:29" ht="15.75" customHeight="1">
      <c r="F89" s="182"/>
      <c r="G89" s="163"/>
      <c r="H89" s="183"/>
      <c r="I89" s="163"/>
      <c r="J89" s="176"/>
      <c r="K89" s="184"/>
      <c r="L89" s="201"/>
      <c r="M89" s="201"/>
      <c r="N89" s="182"/>
      <c r="O89" s="163"/>
      <c r="P89" s="183"/>
      <c r="Q89" s="163"/>
      <c r="R89" s="176"/>
      <c r="S89" s="184"/>
      <c r="T89" s="201"/>
      <c r="U89" s="201"/>
      <c r="V89" s="201"/>
      <c r="W89" s="201"/>
      <c r="X89" s="201"/>
      <c r="Y89" s="201"/>
      <c r="Z89" s="201"/>
      <c r="AA89" s="201"/>
      <c r="AB89" s="201"/>
      <c r="AC89" s="201"/>
    </row>
    <row r="90" spans="6:29" ht="15.75" customHeight="1">
      <c r="F90" s="182"/>
      <c r="G90" s="186"/>
      <c r="H90" s="183"/>
      <c r="I90" s="186"/>
      <c r="J90" s="187"/>
      <c r="K90" s="184"/>
      <c r="L90" s="201"/>
      <c r="M90" s="201"/>
      <c r="N90" s="182"/>
      <c r="O90" s="186"/>
      <c r="P90" s="183"/>
      <c r="Q90" s="186"/>
      <c r="R90" s="187"/>
      <c r="S90" s="184"/>
      <c r="T90" s="201"/>
      <c r="U90" s="201"/>
      <c r="V90" s="201"/>
      <c r="W90" s="201"/>
      <c r="X90" s="201"/>
      <c r="Y90" s="201"/>
      <c r="Z90" s="201"/>
      <c r="AA90" s="201"/>
      <c r="AB90" s="201"/>
      <c r="AC90" s="201"/>
    </row>
    <row r="91" spans="6:29" ht="15.75" customHeight="1">
      <c r="F91" s="182"/>
      <c r="G91" s="186"/>
      <c r="H91" s="183"/>
      <c r="I91" s="186"/>
      <c r="J91" s="187"/>
      <c r="K91" s="184"/>
      <c r="L91" s="201"/>
      <c r="M91" s="201"/>
      <c r="N91" s="182"/>
      <c r="O91" s="163"/>
      <c r="P91" s="183"/>
      <c r="Q91" s="163"/>
      <c r="R91" s="176"/>
      <c r="S91" s="184"/>
      <c r="T91" s="201"/>
      <c r="U91" s="201"/>
      <c r="V91" s="201"/>
      <c r="W91" s="201"/>
      <c r="X91" s="201"/>
      <c r="Y91" s="201"/>
      <c r="Z91" s="201"/>
      <c r="AA91" s="201"/>
      <c r="AB91" s="201"/>
      <c r="AC91" s="201"/>
    </row>
    <row r="92" spans="6:29" ht="15.75" customHeight="1">
      <c r="F92" s="182"/>
      <c r="G92" s="163"/>
      <c r="H92" s="183"/>
      <c r="I92" s="163"/>
      <c r="J92" s="176"/>
      <c r="K92" s="184"/>
      <c r="L92" s="201"/>
      <c r="M92" s="201"/>
      <c r="N92" s="182"/>
      <c r="O92" s="186"/>
      <c r="P92" s="183"/>
      <c r="Q92" s="186"/>
      <c r="R92" s="187"/>
      <c r="S92" s="184"/>
      <c r="T92" s="201"/>
      <c r="U92" s="201"/>
      <c r="V92" s="201"/>
      <c r="W92" s="201"/>
      <c r="X92" s="201"/>
      <c r="Y92" s="201"/>
      <c r="Z92" s="201"/>
      <c r="AA92" s="201"/>
      <c r="AB92" s="201"/>
      <c r="AC92" s="201"/>
    </row>
    <row r="93" spans="6:29" ht="15.75" customHeight="1">
      <c r="F93" s="182"/>
      <c r="G93" s="181"/>
      <c r="H93" s="183"/>
      <c r="I93" s="181"/>
      <c r="J93" s="185"/>
      <c r="K93" s="184"/>
      <c r="L93" s="201"/>
      <c r="M93" s="201"/>
      <c r="N93" s="182"/>
      <c r="O93" s="163"/>
      <c r="P93" s="183"/>
      <c r="Q93" s="163"/>
      <c r="R93" s="176"/>
      <c r="S93" s="184"/>
      <c r="T93" s="201"/>
      <c r="U93" s="201"/>
      <c r="V93" s="201"/>
      <c r="W93" s="201"/>
      <c r="X93" s="201"/>
      <c r="Y93" s="201"/>
      <c r="Z93" s="201"/>
      <c r="AA93" s="201"/>
      <c r="AB93" s="201"/>
      <c r="AC93" s="201"/>
    </row>
    <row r="94" spans="6:29" ht="15.75" customHeight="1">
      <c r="F94" s="182"/>
      <c r="G94" s="163"/>
      <c r="H94" s="183"/>
      <c r="I94" s="163"/>
      <c r="J94" s="176"/>
      <c r="K94" s="184"/>
      <c r="L94" s="201"/>
      <c r="M94" s="201"/>
      <c r="N94" s="182"/>
      <c r="O94" s="181"/>
      <c r="P94" s="183"/>
      <c r="Q94" s="181"/>
      <c r="R94" s="185"/>
      <c r="S94" s="184"/>
      <c r="T94" s="201"/>
      <c r="U94" s="201"/>
      <c r="V94" s="201"/>
      <c r="W94" s="201"/>
      <c r="X94" s="201"/>
      <c r="Y94" s="201"/>
      <c r="Z94" s="201"/>
      <c r="AA94" s="201"/>
      <c r="AB94" s="201"/>
      <c r="AC94" s="201"/>
    </row>
    <row r="95" spans="6:29" ht="15.75" customHeight="1">
      <c r="F95" s="182"/>
      <c r="G95" s="186"/>
      <c r="H95" s="183"/>
      <c r="I95" s="186"/>
      <c r="J95" s="187"/>
      <c r="K95" s="184"/>
      <c r="L95" s="201"/>
      <c r="M95" s="201"/>
      <c r="N95" s="182"/>
      <c r="O95" s="163"/>
      <c r="P95" s="183"/>
      <c r="Q95" s="163"/>
      <c r="R95" s="176"/>
      <c r="S95" s="184"/>
      <c r="T95" s="201"/>
      <c r="U95" s="201"/>
      <c r="V95" s="201"/>
      <c r="W95" s="201"/>
      <c r="X95" s="201"/>
      <c r="Y95" s="201"/>
      <c r="Z95" s="201"/>
      <c r="AA95" s="201"/>
      <c r="AB95" s="201"/>
      <c r="AC95" s="201"/>
    </row>
    <row r="96" spans="6:29" ht="15.75" customHeight="1">
      <c r="F96" s="182"/>
      <c r="G96" s="163"/>
      <c r="H96" s="183"/>
      <c r="I96" s="163"/>
      <c r="J96" s="176"/>
      <c r="K96" s="184"/>
      <c r="L96" s="201"/>
      <c r="M96" s="201"/>
      <c r="N96" s="182"/>
      <c r="O96" s="186"/>
      <c r="P96" s="183"/>
      <c r="Q96" s="186"/>
      <c r="R96" s="187"/>
      <c r="S96" s="184"/>
      <c r="T96" s="201"/>
      <c r="U96" s="201"/>
      <c r="V96" s="201"/>
      <c r="W96" s="201"/>
      <c r="X96" s="201"/>
      <c r="Y96" s="201"/>
      <c r="Z96" s="201"/>
      <c r="AA96" s="201"/>
      <c r="AB96" s="201"/>
      <c r="AC96" s="201"/>
    </row>
    <row r="97" spans="6:29" ht="15.75" customHeight="1">
      <c r="F97" s="182"/>
      <c r="G97" s="186"/>
      <c r="H97" s="183"/>
      <c r="I97" s="186"/>
      <c r="J97" s="187"/>
      <c r="K97" s="184"/>
      <c r="L97" s="201"/>
      <c r="M97" s="201"/>
      <c r="N97" s="182"/>
      <c r="O97" s="163"/>
      <c r="P97" s="183"/>
      <c r="Q97" s="163"/>
      <c r="R97" s="176"/>
      <c r="S97" s="184"/>
      <c r="T97" s="201"/>
      <c r="U97" s="201"/>
      <c r="V97" s="201"/>
      <c r="W97" s="201"/>
      <c r="X97" s="201"/>
      <c r="Y97" s="201"/>
      <c r="Z97" s="201"/>
      <c r="AA97" s="201"/>
      <c r="AB97" s="201"/>
      <c r="AC97" s="201"/>
    </row>
    <row r="98" spans="6:29" ht="15.75" customHeight="1">
      <c r="F98" s="182"/>
      <c r="G98" s="163"/>
      <c r="H98" s="183"/>
      <c r="I98" s="163"/>
      <c r="J98" s="176"/>
      <c r="K98" s="184"/>
      <c r="L98" s="201"/>
      <c r="M98" s="201"/>
      <c r="N98" s="182"/>
      <c r="O98" s="186"/>
      <c r="P98" s="183"/>
      <c r="Q98" s="186"/>
      <c r="R98" s="187"/>
      <c r="S98" s="184"/>
      <c r="T98" s="201"/>
      <c r="U98" s="201"/>
      <c r="V98" s="201"/>
      <c r="W98" s="201"/>
      <c r="X98" s="201"/>
      <c r="Y98" s="201"/>
      <c r="Z98" s="201"/>
      <c r="AA98" s="201"/>
      <c r="AB98" s="201"/>
      <c r="AC98" s="201"/>
    </row>
    <row r="99" spans="6:29" ht="15.75" customHeight="1">
      <c r="F99" s="182"/>
      <c r="G99" s="181"/>
      <c r="H99" s="183"/>
      <c r="I99" s="181"/>
      <c r="J99" s="185"/>
      <c r="K99" s="184"/>
      <c r="L99" s="201"/>
      <c r="M99" s="201"/>
      <c r="N99" s="182"/>
      <c r="O99" s="163"/>
      <c r="P99" s="183"/>
      <c r="Q99" s="163"/>
      <c r="R99" s="176"/>
      <c r="S99" s="184"/>
      <c r="T99" s="201"/>
      <c r="U99" s="201"/>
      <c r="V99" s="201"/>
      <c r="W99" s="201"/>
      <c r="X99" s="201"/>
      <c r="Y99" s="201"/>
      <c r="Z99" s="201"/>
      <c r="AA99" s="201"/>
      <c r="AB99" s="201"/>
      <c r="AC99" s="201"/>
    </row>
    <row r="100" spans="6:29" ht="15.75" customHeight="1">
      <c r="F100" s="182"/>
      <c r="G100" s="163"/>
      <c r="H100" s="183"/>
      <c r="I100" s="163"/>
      <c r="J100" s="176"/>
      <c r="K100" s="184"/>
      <c r="L100" s="201"/>
      <c r="M100" s="201"/>
      <c r="N100" s="182"/>
      <c r="O100" s="181"/>
      <c r="P100" s="183"/>
      <c r="Q100" s="181"/>
      <c r="R100" s="185"/>
      <c r="S100" s="184"/>
      <c r="T100" s="201"/>
      <c r="U100" s="201"/>
      <c r="V100" s="201"/>
      <c r="W100" s="201"/>
      <c r="X100" s="201"/>
      <c r="Y100" s="201"/>
      <c r="Z100" s="201"/>
      <c r="AA100" s="201"/>
      <c r="AB100" s="201"/>
      <c r="AC100" s="201"/>
    </row>
    <row r="101" spans="6:29" ht="15.75" customHeight="1">
      <c r="F101" s="182"/>
      <c r="G101" s="186"/>
      <c r="H101" s="183"/>
      <c r="I101" s="186"/>
      <c r="J101" s="187"/>
      <c r="K101" s="184"/>
      <c r="L101" s="201"/>
      <c r="M101" s="201"/>
      <c r="N101" s="182"/>
      <c r="O101" s="186"/>
      <c r="P101" s="183"/>
      <c r="Q101" s="186"/>
      <c r="R101" s="187"/>
      <c r="S101" s="184"/>
      <c r="T101" s="201"/>
      <c r="U101" s="201"/>
      <c r="V101" s="201"/>
      <c r="W101" s="201"/>
      <c r="X101" s="201"/>
      <c r="Y101" s="201"/>
      <c r="Z101" s="201"/>
      <c r="AA101" s="201"/>
      <c r="AB101" s="201"/>
      <c r="AC101" s="201"/>
    </row>
    <row r="102" spans="6:29" ht="15.75" customHeight="1">
      <c r="F102" s="182"/>
      <c r="G102" s="163"/>
      <c r="H102" s="183"/>
      <c r="I102" s="163"/>
      <c r="J102" s="176"/>
      <c r="K102" s="184"/>
      <c r="L102" s="201"/>
      <c r="M102" s="201"/>
      <c r="N102" s="182"/>
      <c r="O102" s="163"/>
      <c r="P102" s="183"/>
      <c r="Q102" s="163"/>
      <c r="R102" s="176"/>
      <c r="S102" s="184"/>
      <c r="T102" s="201"/>
      <c r="U102" s="201"/>
      <c r="V102" s="201"/>
      <c r="W102" s="201"/>
      <c r="X102" s="201"/>
      <c r="Y102" s="201"/>
      <c r="Z102" s="201"/>
      <c r="AA102" s="201"/>
      <c r="AB102" s="201"/>
      <c r="AC102" s="201"/>
    </row>
    <row r="103" spans="6:29" ht="15.75" customHeight="1">
      <c r="F103" s="182"/>
      <c r="G103" s="186"/>
      <c r="H103" s="183"/>
      <c r="I103" s="186"/>
      <c r="J103" s="187"/>
      <c r="K103" s="184"/>
      <c r="L103" s="201"/>
      <c r="M103" s="201"/>
      <c r="N103" s="182"/>
      <c r="O103" s="181"/>
      <c r="P103" s="183"/>
      <c r="Q103" s="181"/>
      <c r="R103" s="185"/>
      <c r="S103" s="184"/>
      <c r="T103" s="201"/>
      <c r="U103" s="201"/>
      <c r="V103" s="201"/>
      <c r="W103" s="201"/>
      <c r="X103" s="201"/>
      <c r="Y103" s="201"/>
      <c r="Z103" s="201"/>
      <c r="AA103" s="201"/>
      <c r="AB103" s="201"/>
      <c r="AC103" s="201"/>
    </row>
    <row r="104" spans="6:29" ht="15.75" customHeight="1">
      <c r="F104" s="182"/>
      <c r="G104" s="163"/>
      <c r="H104" s="183"/>
      <c r="I104" s="163"/>
      <c r="J104" s="176"/>
      <c r="K104" s="184"/>
      <c r="L104" s="201"/>
      <c r="M104" s="201"/>
      <c r="N104" s="182"/>
      <c r="O104" s="163"/>
      <c r="P104" s="183"/>
      <c r="Q104" s="163"/>
      <c r="R104" s="176"/>
      <c r="S104" s="184"/>
      <c r="T104" s="201"/>
      <c r="U104" s="201"/>
      <c r="V104" s="201"/>
      <c r="W104" s="201"/>
      <c r="X104" s="201"/>
      <c r="Y104" s="201"/>
      <c r="Z104" s="201"/>
      <c r="AA104" s="201"/>
      <c r="AB104" s="201"/>
      <c r="AC104" s="201"/>
    </row>
    <row r="105" spans="6:29" ht="15.75" customHeight="1">
      <c r="F105" s="182"/>
      <c r="G105" s="186"/>
      <c r="H105" s="183"/>
      <c r="I105" s="186"/>
      <c r="J105" s="187"/>
      <c r="K105" s="184"/>
      <c r="L105" s="201"/>
      <c r="M105" s="201"/>
      <c r="N105" s="182"/>
      <c r="O105" s="186"/>
      <c r="P105" s="183"/>
      <c r="Q105" s="186"/>
      <c r="R105" s="187"/>
      <c r="S105" s="184"/>
      <c r="T105" s="201"/>
      <c r="U105" s="201"/>
      <c r="V105" s="201"/>
      <c r="W105" s="201"/>
      <c r="X105" s="201"/>
      <c r="Y105" s="201"/>
      <c r="Z105" s="201"/>
      <c r="AA105" s="201"/>
      <c r="AB105" s="201"/>
      <c r="AC105" s="201"/>
    </row>
    <row r="106" spans="6:29" ht="15.75" customHeight="1">
      <c r="F106" s="182"/>
      <c r="G106" s="163"/>
      <c r="H106" s="183"/>
      <c r="I106" s="163"/>
      <c r="J106" s="176"/>
      <c r="K106" s="184"/>
      <c r="L106" s="201"/>
      <c r="M106" s="201"/>
      <c r="N106" s="182"/>
      <c r="O106" s="163"/>
      <c r="P106" s="183"/>
      <c r="Q106" s="163"/>
      <c r="R106" s="176"/>
      <c r="S106" s="184"/>
      <c r="T106" s="201"/>
      <c r="U106" s="201"/>
      <c r="V106" s="201"/>
      <c r="W106" s="201"/>
      <c r="X106" s="201"/>
      <c r="Y106" s="201"/>
      <c r="Z106" s="201"/>
      <c r="AA106" s="201"/>
      <c r="AB106" s="201"/>
      <c r="AC106" s="201"/>
    </row>
    <row r="107" spans="6:29" ht="15.75" customHeight="1">
      <c r="F107" s="182"/>
      <c r="G107" s="181"/>
      <c r="H107" s="183"/>
      <c r="I107" s="181"/>
      <c r="J107" s="185"/>
      <c r="K107" s="184"/>
      <c r="L107" s="201"/>
      <c r="M107" s="201"/>
      <c r="N107" s="182"/>
      <c r="O107" s="186"/>
      <c r="P107" s="183"/>
      <c r="Q107" s="186"/>
      <c r="R107" s="187"/>
      <c r="S107" s="184"/>
      <c r="T107" s="201"/>
      <c r="U107" s="201"/>
      <c r="V107" s="201"/>
      <c r="W107" s="201"/>
      <c r="X107" s="201"/>
      <c r="Y107" s="201"/>
      <c r="Z107" s="201"/>
      <c r="AA107" s="201"/>
      <c r="AB107" s="201"/>
      <c r="AC107" s="201"/>
    </row>
    <row r="108" spans="6:29" ht="15.75" customHeight="1">
      <c r="F108" s="182"/>
      <c r="G108" s="163"/>
      <c r="H108" s="183"/>
      <c r="I108" s="163"/>
      <c r="J108" s="176"/>
      <c r="K108" s="184"/>
      <c r="L108" s="201"/>
      <c r="M108" s="201"/>
      <c r="N108" s="182"/>
      <c r="O108" s="186"/>
      <c r="P108" s="183"/>
      <c r="Q108" s="186"/>
      <c r="R108" s="187"/>
      <c r="S108" s="184"/>
      <c r="T108" s="201"/>
      <c r="U108" s="201"/>
      <c r="V108" s="201"/>
      <c r="W108" s="201"/>
      <c r="X108" s="201"/>
      <c r="Y108" s="201"/>
      <c r="Z108" s="201"/>
      <c r="AA108" s="201"/>
      <c r="AB108" s="201"/>
      <c r="AC108" s="201"/>
    </row>
    <row r="109" spans="6:29" ht="15.75" customHeight="1">
      <c r="F109" s="182"/>
      <c r="G109" s="186"/>
      <c r="H109" s="183"/>
      <c r="I109" s="186"/>
      <c r="J109" s="187"/>
      <c r="K109" s="184"/>
      <c r="L109" s="201"/>
      <c r="M109" s="201"/>
      <c r="N109" s="182"/>
      <c r="O109" s="163"/>
      <c r="P109" s="183"/>
      <c r="Q109" s="163"/>
      <c r="R109" s="176"/>
      <c r="S109" s="184"/>
      <c r="T109" s="201"/>
      <c r="U109" s="201"/>
      <c r="V109" s="201"/>
      <c r="W109" s="201"/>
      <c r="X109" s="201"/>
      <c r="Y109" s="201"/>
      <c r="Z109" s="201"/>
      <c r="AA109" s="201"/>
      <c r="AB109" s="201"/>
      <c r="AC109" s="201"/>
    </row>
    <row r="110" spans="6:29" ht="15.75" customHeight="1">
      <c r="F110" s="182"/>
      <c r="G110" s="163"/>
      <c r="H110" s="183"/>
      <c r="I110" s="163"/>
      <c r="J110" s="176"/>
      <c r="K110" s="184"/>
      <c r="L110" s="201"/>
      <c r="M110" s="201"/>
      <c r="N110" s="182"/>
      <c r="O110" s="181"/>
      <c r="P110" s="183"/>
      <c r="Q110" s="181"/>
      <c r="R110" s="185"/>
      <c r="S110" s="184"/>
      <c r="T110" s="201"/>
      <c r="U110" s="201"/>
      <c r="V110" s="201"/>
      <c r="W110" s="201"/>
      <c r="X110" s="201"/>
      <c r="Y110" s="201"/>
      <c r="Z110" s="201"/>
      <c r="AA110" s="201"/>
      <c r="AB110" s="201"/>
      <c r="AC110" s="201"/>
    </row>
    <row r="111" spans="6:29" ht="15.75" customHeight="1">
      <c r="F111" s="182"/>
      <c r="G111" s="181"/>
      <c r="H111" s="183"/>
      <c r="I111" s="181"/>
      <c r="J111" s="185"/>
      <c r="K111" s="184"/>
      <c r="L111" s="201"/>
      <c r="M111" s="201"/>
      <c r="N111" s="182"/>
      <c r="O111" s="163"/>
      <c r="P111" s="183"/>
      <c r="Q111" s="163"/>
      <c r="R111" s="176"/>
      <c r="S111" s="184"/>
      <c r="T111" s="201"/>
      <c r="U111" s="201"/>
      <c r="V111" s="201"/>
      <c r="W111" s="201"/>
      <c r="X111" s="201"/>
      <c r="Y111" s="201"/>
      <c r="Z111" s="201"/>
      <c r="AA111" s="201"/>
      <c r="AB111" s="201"/>
      <c r="AC111" s="201"/>
    </row>
    <row r="112" spans="6:29" ht="15.75" customHeight="1">
      <c r="F112" s="182"/>
      <c r="G112" s="163"/>
      <c r="H112" s="183"/>
      <c r="I112" s="163"/>
      <c r="J112" s="176"/>
      <c r="K112" s="184"/>
      <c r="L112" s="201"/>
      <c r="M112" s="201"/>
      <c r="N112" s="182"/>
      <c r="O112" s="186"/>
      <c r="P112" s="183"/>
      <c r="Q112" s="186"/>
      <c r="R112" s="187"/>
      <c r="S112" s="184"/>
      <c r="T112" s="201"/>
      <c r="U112" s="201"/>
      <c r="V112" s="201"/>
      <c r="W112" s="201"/>
      <c r="X112" s="201"/>
      <c r="Y112" s="201"/>
      <c r="Z112" s="201"/>
      <c r="AA112" s="201"/>
      <c r="AB112" s="201"/>
      <c r="AC112" s="201"/>
    </row>
    <row r="113" spans="6:29" ht="15.75" customHeight="1">
      <c r="F113" s="182"/>
      <c r="G113" s="181"/>
      <c r="H113" s="183"/>
      <c r="I113" s="181"/>
      <c r="J113" s="185"/>
      <c r="K113" s="184"/>
      <c r="L113" s="201"/>
      <c r="M113" s="201"/>
      <c r="N113" s="182"/>
      <c r="O113" s="163"/>
      <c r="P113" s="183"/>
      <c r="Q113" s="163"/>
      <c r="R113" s="176"/>
      <c r="S113" s="184"/>
      <c r="T113" s="201"/>
      <c r="U113" s="201"/>
      <c r="V113" s="201"/>
      <c r="W113" s="201"/>
      <c r="X113" s="201"/>
      <c r="Y113" s="201"/>
      <c r="Z113" s="201"/>
      <c r="AA113" s="201"/>
      <c r="AB113" s="201"/>
      <c r="AC113" s="201"/>
    </row>
    <row r="114" spans="6:29" ht="15.75" customHeight="1">
      <c r="F114" s="182"/>
      <c r="G114" s="186"/>
      <c r="H114" s="183"/>
      <c r="I114" s="186"/>
      <c r="J114" s="187"/>
      <c r="K114" s="184"/>
      <c r="L114" s="201"/>
      <c r="M114" s="201"/>
      <c r="N114" s="182"/>
      <c r="O114" s="186"/>
      <c r="P114" s="183"/>
      <c r="Q114" s="186"/>
      <c r="R114" s="187"/>
      <c r="S114" s="184"/>
      <c r="T114" s="201"/>
      <c r="U114" s="201"/>
      <c r="V114" s="201"/>
      <c r="W114" s="201"/>
      <c r="X114" s="201"/>
      <c r="Y114" s="201"/>
      <c r="Z114" s="201"/>
      <c r="AA114" s="201"/>
      <c r="AB114" s="201"/>
      <c r="AC114" s="201"/>
    </row>
    <row r="115" spans="6:29" ht="15.75" customHeight="1">
      <c r="F115" s="193"/>
      <c r="G115" s="188"/>
      <c r="H115" s="189"/>
      <c r="I115" s="188"/>
      <c r="J115" s="190"/>
      <c r="K115" s="191"/>
      <c r="L115" s="201"/>
      <c r="M115" s="201"/>
      <c r="N115" s="182"/>
      <c r="O115" s="163"/>
      <c r="P115" s="183"/>
      <c r="Q115" s="163"/>
      <c r="R115" s="176"/>
      <c r="S115" s="184"/>
      <c r="T115" s="201"/>
      <c r="U115" s="201"/>
      <c r="V115" s="201"/>
      <c r="W115" s="201"/>
      <c r="X115" s="201"/>
      <c r="Y115" s="201"/>
      <c r="Z115" s="201"/>
      <c r="AA115" s="201"/>
      <c r="AB115" s="201"/>
      <c r="AC115" s="201"/>
    </row>
    <row r="116" spans="6:29" ht="15.75" customHeight="1">
      <c r="F116" s="201"/>
      <c r="G116" s="201"/>
      <c r="H116" s="201"/>
      <c r="I116" s="201"/>
      <c r="J116" s="201"/>
      <c r="K116" s="201"/>
      <c r="L116" s="201"/>
      <c r="M116" s="201"/>
      <c r="N116" s="182"/>
      <c r="O116" s="181"/>
      <c r="P116" s="183"/>
      <c r="Q116" s="181"/>
      <c r="R116" s="185"/>
      <c r="S116" s="184"/>
      <c r="T116" s="201"/>
      <c r="U116" s="201"/>
      <c r="V116" s="201"/>
      <c r="W116" s="201"/>
      <c r="X116" s="201"/>
      <c r="Y116" s="201"/>
      <c r="Z116" s="201"/>
      <c r="AA116" s="201"/>
      <c r="AB116" s="201"/>
      <c r="AC116" s="201"/>
    </row>
    <row r="117" spans="6:29" ht="15.75" customHeight="1">
      <c r="F117" s="201"/>
      <c r="G117" s="201"/>
      <c r="H117" s="201"/>
      <c r="I117" s="201"/>
      <c r="J117" s="201"/>
      <c r="K117" s="201"/>
      <c r="L117" s="201"/>
      <c r="M117" s="201"/>
      <c r="N117" s="182"/>
      <c r="O117" s="163"/>
      <c r="P117" s="183"/>
      <c r="Q117" s="163"/>
      <c r="R117" s="176"/>
      <c r="S117" s="184"/>
      <c r="T117" s="201"/>
      <c r="U117" s="201"/>
      <c r="V117" s="201"/>
      <c r="W117" s="201"/>
      <c r="X117" s="201"/>
      <c r="Y117" s="201"/>
      <c r="Z117" s="201"/>
      <c r="AA117" s="201"/>
      <c r="AB117" s="201"/>
      <c r="AC117" s="201"/>
    </row>
    <row r="118" spans="6:29" ht="15.75" customHeight="1">
      <c r="F118" s="201"/>
      <c r="G118" s="201"/>
      <c r="H118" s="201"/>
      <c r="I118" s="201"/>
      <c r="J118" s="201"/>
      <c r="K118" s="201"/>
      <c r="L118" s="201"/>
      <c r="M118" s="201"/>
      <c r="N118" s="182"/>
      <c r="O118" s="186"/>
      <c r="P118" s="183"/>
      <c r="Q118" s="186"/>
      <c r="R118" s="187"/>
      <c r="S118" s="184"/>
      <c r="T118" s="201"/>
      <c r="U118" s="201"/>
      <c r="V118" s="201"/>
      <c r="W118" s="201"/>
      <c r="X118" s="201"/>
      <c r="Y118" s="201"/>
      <c r="Z118" s="201"/>
      <c r="AA118" s="201"/>
      <c r="AB118" s="201"/>
      <c r="AC118" s="201"/>
    </row>
    <row r="119" spans="6:29" ht="15.75" customHeight="1">
      <c r="F119" s="201"/>
      <c r="G119" s="201"/>
      <c r="H119" s="201"/>
      <c r="I119" s="201"/>
      <c r="J119" s="201"/>
      <c r="K119" s="201"/>
      <c r="L119" s="201"/>
      <c r="M119" s="201"/>
      <c r="N119" s="182"/>
      <c r="O119" s="163"/>
      <c r="P119" s="183"/>
      <c r="Q119" s="163"/>
      <c r="R119" s="176"/>
      <c r="S119" s="184"/>
      <c r="T119" s="201"/>
      <c r="U119" s="201"/>
      <c r="V119" s="201"/>
      <c r="W119" s="201"/>
      <c r="X119" s="201"/>
      <c r="Y119" s="201"/>
      <c r="Z119" s="201"/>
      <c r="AA119" s="201"/>
      <c r="AB119" s="201"/>
      <c r="AC119" s="201"/>
    </row>
    <row r="120" spans="6:29" ht="15.75" customHeight="1">
      <c r="F120" s="201"/>
      <c r="G120" s="201"/>
      <c r="H120" s="201"/>
      <c r="I120" s="201"/>
      <c r="J120" s="201"/>
      <c r="K120" s="201"/>
      <c r="L120" s="201"/>
      <c r="M120" s="201"/>
      <c r="N120" s="182"/>
      <c r="O120" s="186"/>
      <c r="P120" s="183"/>
      <c r="Q120" s="186"/>
      <c r="R120" s="187"/>
      <c r="S120" s="184"/>
      <c r="T120" s="201"/>
      <c r="U120" s="201"/>
      <c r="V120" s="201"/>
      <c r="W120" s="201"/>
      <c r="X120" s="201"/>
      <c r="Y120" s="201"/>
      <c r="Z120" s="201"/>
      <c r="AA120" s="201"/>
      <c r="AB120" s="201"/>
      <c r="AC120" s="201"/>
    </row>
    <row r="121" spans="6:29" ht="15.75" customHeight="1">
      <c r="F121" s="201"/>
      <c r="G121" s="201"/>
      <c r="H121" s="201"/>
      <c r="I121" s="201"/>
      <c r="J121" s="201"/>
      <c r="K121" s="201"/>
      <c r="L121" s="201"/>
      <c r="M121" s="201"/>
      <c r="N121" s="182"/>
      <c r="O121" s="163"/>
      <c r="P121" s="183"/>
      <c r="Q121" s="163"/>
      <c r="R121" s="176"/>
      <c r="S121" s="184"/>
      <c r="T121" s="201"/>
      <c r="U121" s="201"/>
      <c r="V121" s="201"/>
      <c r="W121" s="201"/>
      <c r="X121" s="201"/>
      <c r="Y121" s="201"/>
      <c r="Z121" s="201"/>
      <c r="AA121" s="201"/>
      <c r="AB121" s="201"/>
      <c r="AC121" s="201"/>
    </row>
    <row r="122" spans="6:29" ht="15.75" customHeight="1">
      <c r="F122" s="201"/>
      <c r="G122" s="201"/>
      <c r="H122" s="201"/>
      <c r="I122" s="201"/>
      <c r="J122" s="201"/>
      <c r="K122" s="201"/>
      <c r="L122" s="201"/>
      <c r="M122" s="201"/>
      <c r="N122" s="182"/>
      <c r="O122" s="186"/>
      <c r="P122" s="183"/>
      <c r="Q122" s="186"/>
      <c r="R122" s="187"/>
      <c r="S122" s="184"/>
      <c r="T122" s="201"/>
      <c r="U122" s="201"/>
      <c r="V122" s="201"/>
      <c r="W122" s="201"/>
      <c r="X122" s="201"/>
      <c r="Y122" s="201"/>
      <c r="Z122" s="201"/>
      <c r="AA122" s="201"/>
      <c r="AB122" s="201"/>
      <c r="AC122" s="201"/>
    </row>
    <row r="123" spans="6:29" ht="15.75" customHeight="1">
      <c r="F123" s="201"/>
      <c r="G123" s="201"/>
      <c r="H123" s="201"/>
      <c r="I123" s="201"/>
      <c r="J123" s="201"/>
      <c r="K123" s="201"/>
      <c r="L123" s="201"/>
      <c r="M123" s="201"/>
      <c r="N123" s="182"/>
      <c r="O123" s="163"/>
      <c r="P123" s="183"/>
      <c r="Q123" s="163"/>
      <c r="R123" s="176"/>
      <c r="S123" s="184"/>
      <c r="T123" s="201"/>
      <c r="U123" s="201"/>
      <c r="V123" s="201"/>
      <c r="W123" s="201"/>
      <c r="X123" s="201"/>
      <c r="Y123" s="201"/>
      <c r="Z123" s="201"/>
      <c r="AA123" s="201"/>
      <c r="AB123" s="201"/>
      <c r="AC123" s="201"/>
    </row>
    <row r="124" spans="6:29" ht="15.75" customHeight="1">
      <c r="F124" s="201"/>
      <c r="G124" s="201"/>
      <c r="H124" s="201"/>
      <c r="I124" s="201"/>
      <c r="J124" s="201"/>
      <c r="K124" s="201"/>
      <c r="L124" s="201"/>
      <c r="M124" s="201"/>
      <c r="N124" s="182"/>
      <c r="O124" s="181"/>
      <c r="P124" s="183"/>
      <c r="Q124" s="181"/>
      <c r="R124" s="185"/>
      <c r="S124" s="184"/>
      <c r="T124" s="201"/>
      <c r="U124" s="201"/>
      <c r="V124" s="201"/>
      <c r="W124" s="201"/>
      <c r="X124" s="201"/>
      <c r="Y124" s="201"/>
      <c r="Z124" s="201"/>
      <c r="AA124" s="201"/>
      <c r="AB124" s="201"/>
      <c r="AC124" s="201"/>
    </row>
    <row r="125" spans="6:29" ht="15.75" customHeight="1">
      <c r="F125" s="201"/>
      <c r="G125" s="201"/>
      <c r="H125" s="201"/>
      <c r="I125" s="201"/>
      <c r="J125" s="201"/>
      <c r="K125" s="201"/>
      <c r="L125" s="201"/>
      <c r="M125" s="201"/>
      <c r="N125" s="182"/>
      <c r="O125" s="163"/>
      <c r="P125" s="183"/>
      <c r="Q125" s="163"/>
      <c r="R125" s="176"/>
      <c r="S125" s="184"/>
      <c r="T125" s="201"/>
      <c r="U125" s="201"/>
      <c r="V125" s="201"/>
      <c r="W125" s="201"/>
      <c r="X125" s="201"/>
      <c r="Y125" s="201"/>
      <c r="Z125" s="201"/>
      <c r="AA125" s="201"/>
      <c r="AB125" s="201"/>
      <c r="AC125" s="201"/>
    </row>
    <row r="126" spans="6:29" ht="15.75" customHeight="1">
      <c r="F126" s="201"/>
      <c r="G126" s="201"/>
      <c r="H126" s="201"/>
      <c r="I126" s="201"/>
      <c r="J126" s="201"/>
      <c r="K126" s="201"/>
      <c r="L126" s="201"/>
      <c r="M126" s="201"/>
      <c r="N126" s="182"/>
      <c r="O126" s="186"/>
      <c r="P126" s="183"/>
      <c r="Q126" s="186"/>
      <c r="R126" s="187"/>
      <c r="S126" s="184"/>
      <c r="T126" s="201"/>
      <c r="U126" s="201"/>
      <c r="V126" s="201"/>
      <c r="W126" s="201"/>
      <c r="X126" s="201"/>
      <c r="Y126" s="201"/>
      <c r="Z126" s="201"/>
      <c r="AA126" s="201"/>
      <c r="AB126" s="201"/>
      <c r="AC126" s="201"/>
    </row>
    <row r="127" spans="6:29" ht="15.75" customHeight="1">
      <c r="F127" s="201"/>
      <c r="G127" s="201"/>
      <c r="H127" s="201"/>
      <c r="I127" s="201"/>
      <c r="J127" s="201"/>
      <c r="K127" s="201"/>
      <c r="L127" s="201"/>
      <c r="M127" s="201"/>
      <c r="N127" s="182"/>
      <c r="O127" s="163"/>
      <c r="P127" s="183"/>
      <c r="Q127" s="163"/>
      <c r="R127" s="176"/>
      <c r="S127" s="184"/>
      <c r="T127" s="201"/>
      <c r="U127" s="201"/>
      <c r="V127" s="201"/>
      <c r="W127" s="201"/>
      <c r="X127" s="201"/>
      <c r="Y127" s="201"/>
      <c r="Z127" s="201"/>
      <c r="AA127" s="201"/>
      <c r="AB127" s="201"/>
      <c r="AC127" s="201"/>
    </row>
    <row r="128" spans="6:29" ht="15.75" customHeight="1">
      <c r="F128" s="201"/>
      <c r="G128" s="201"/>
      <c r="H128" s="201"/>
      <c r="I128" s="201"/>
      <c r="J128" s="201"/>
      <c r="K128" s="201"/>
      <c r="L128" s="201"/>
      <c r="M128" s="201"/>
      <c r="N128" s="182"/>
      <c r="O128" s="186"/>
      <c r="P128" s="183"/>
      <c r="Q128" s="186"/>
      <c r="R128" s="187"/>
      <c r="S128" s="184"/>
      <c r="T128" s="201"/>
      <c r="U128" s="201"/>
      <c r="V128" s="201"/>
      <c r="W128" s="201"/>
      <c r="X128" s="201"/>
      <c r="Y128" s="201"/>
      <c r="Z128" s="201"/>
      <c r="AA128" s="201"/>
      <c r="AB128" s="201"/>
      <c r="AC128" s="201"/>
    </row>
    <row r="129" spans="6:29" ht="15.75" customHeight="1">
      <c r="F129" s="201"/>
      <c r="G129" s="201"/>
      <c r="H129" s="201"/>
      <c r="I129" s="201"/>
      <c r="J129" s="201"/>
      <c r="K129" s="201"/>
      <c r="L129" s="201"/>
      <c r="M129" s="201"/>
      <c r="N129" s="182"/>
      <c r="O129" s="163"/>
      <c r="P129" s="183"/>
      <c r="Q129" s="163"/>
      <c r="R129" s="176"/>
      <c r="S129" s="184"/>
      <c r="T129" s="201"/>
      <c r="U129" s="201"/>
      <c r="V129" s="201"/>
      <c r="W129" s="201"/>
      <c r="X129" s="201"/>
      <c r="Y129" s="201"/>
      <c r="Z129" s="201"/>
      <c r="AA129" s="201"/>
      <c r="AB129" s="201"/>
      <c r="AC129" s="201"/>
    </row>
    <row r="130" spans="6:29" ht="15.75" customHeight="1">
      <c r="F130" s="201"/>
      <c r="G130" s="201"/>
      <c r="H130" s="201"/>
      <c r="I130" s="201"/>
      <c r="J130" s="201"/>
      <c r="K130" s="201"/>
      <c r="L130" s="201"/>
      <c r="M130" s="201"/>
      <c r="N130" s="182"/>
      <c r="O130" s="181"/>
      <c r="P130" s="183"/>
      <c r="Q130" s="181"/>
      <c r="R130" s="185"/>
      <c r="S130" s="184"/>
      <c r="T130" s="201"/>
      <c r="U130" s="201"/>
      <c r="V130" s="201"/>
      <c r="W130" s="201"/>
      <c r="X130" s="201"/>
      <c r="Y130" s="201"/>
      <c r="Z130" s="201"/>
      <c r="AA130" s="201"/>
      <c r="AB130" s="201"/>
      <c r="AC130" s="201"/>
    </row>
    <row r="131" spans="6:29" ht="15.75" customHeight="1">
      <c r="F131" s="201"/>
      <c r="G131" s="201"/>
      <c r="H131" s="201"/>
      <c r="I131" s="201"/>
      <c r="J131" s="201"/>
      <c r="K131" s="201"/>
      <c r="L131" s="201"/>
      <c r="M131" s="201"/>
      <c r="N131" s="182"/>
      <c r="O131" s="163"/>
      <c r="P131" s="183"/>
      <c r="Q131" s="163"/>
      <c r="R131" s="176"/>
      <c r="S131" s="184"/>
      <c r="T131" s="201"/>
      <c r="U131" s="201"/>
      <c r="V131" s="201"/>
      <c r="W131" s="201"/>
      <c r="X131" s="201"/>
      <c r="Y131" s="201"/>
      <c r="Z131" s="201"/>
      <c r="AA131" s="201"/>
      <c r="AB131" s="201"/>
      <c r="AC131" s="201"/>
    </row>
    <row r="132" spans="6:29" ht="15.75" customHeight="1">
      <c r="F132" s="201"/>
      <c r="G132" s="201"/>
      <c r="H132" s="201"/>
      <c r="I132" s="201"/>
      <c r="J132" s="201"/>
      <c r="K132" s="201"/>
      <c r="L132" s="201"/>
      <c r="M132" s="201"/>
      <c r="N132" s="182"/>
      <c r="O132" s="186"/>
      <c r="P132" s="183"/>
      <c r="Q132" s="186"/>
      <c r="R132" s="187"/>
      <c r="S132" s="184"/>
      <c r="T132" s="201"/>
      <c r="U132" s="201"/>
      <c r="V132" s="201"/>
      <c r="W132" s="201"/>
      <c r="X132" s="201"/>
      <c r="Y132" s="201"/>
      <c r="Z132" s="201"/>
      <c r="AA132" s="201"/>
      <c r="AB132" s="201"/>
      <c r="AC132" s="201"/>
    </row>
    <row r="133" spans="6:29" ht="15.75" customHeight="1">
      <c r="F133" s="201"/>
      <c r="G133" s="201"/>
      <c r="H133" s="201"/>
      <c r="I133" s="201"/>
      <c r="J133" s="201"/>
      <c r="K133" s="201"/>
      <c r="L133" s="201"/>
      <c r="M133" s="201"/>
      <c r="N133" s="182"/>
      <c r="O133" s="163"/>
      <c r="P133" s="183"/>
      <c r="Q133" s="163"/>
      <c r="R133" s="176"/>
      <c r="S133" s="184"/>
      <c r="T133" s="201"/>
      <c r="U133" s="201"/>
      <c r="V133" s="201"/>
      <c r="W133" s="201"/>
      <c r="X133" s="201"/>
      <c r="Y133" s="201"/>
      <c r="Z133" s="201"/>
      <c r="AA133" s="201"/>
      <c r="AB133" s="201"/>
      <c r="AC133" s="201"/>
    </row>
    <row r="134" spans="6:29" ht="15.75" customHeight="1">
      <c r="F134" s="201"/>
      <c r="G134" s="201"/>
      <c r="H134" s="201"/>
      <c r="I134" s="201"/>
      <c r="J134" s="201"/>
      <c r="K134" s="201"/>
      <c r="L134" s="201"/>
      <c r="M134" s="201"/>
      <c r="N134" s="182"/>
      <c r="O134" s="186"/>
      <c r="P134" s="183"/>
      <c r="Q134" s="186"/>
      <c r="R134" s="187"/>
      <c r="S134" s="184"/>
      <c r="T134" s="201"/>
      <c r="U134" s="201"/>
      <c r="V134" s="201"/>
      <c r="W134" s="201"/>
      <c r="X134" s="201"/>
      <c r="Y134" s="201"/>
      <c r="Z134" s="201"/>
      <c r="AA134" s="201"/>
      <c r="AB134" s="201"/>
      <c r="AC134" s="201"/>
    </row>
    <row r="135" spans="6:29" ht="15.75" customHeight="1">
      <c r="F135" s="201"/>
      <c r="G135" s="201"/>
      <c r="H135" s="201"/>
      <c r="I135" s="201"/>
      <c r="J135" s="201"/>
      <c r="K135" s="201"/>
      <c r="L135" s="201"/>
      <c r="M135" s="201"/>
      <c r="N135" s="182"/>
      <c r="O135" s="163"/>
      <c r="P135" s="183"/>
      <c r="Q135" s="163"/>
      <c r="R135" s="176"/>
      <c r="S135" s="184"/>
      <c r="T135" s="201"/>
      <c r="U135" s="201"/>
      <c r="V135" s="201"/>
      <c r="W135" s="201"/>
      <c r="X135" s="201"/>
      <c r="Y135" s="201"/>
      <c r="Z135" s="201"/>
      <c r="AA135" s="201"/>
      <c r="AB135" s="201"/>
      <c r="AC135" s="201"/>
    </row>
    <row r="136" spans="6:29" ht="15.75" customHeight="1">
      <c r="F136" s="201"/>
      <c r="G136" s="201"/>
      <c r="H136" s="201"/>
      <c r="I136" s="201"/>
      <c r="J136" s="201"/>
      <c r="K136" s="201"/>
      <c r="L136" s="201"/>
      <c r="M136" s="201"/>
      <c r="N136" s="182"/>
      <c r="O136" s="181"/>
      <c r="P136" s="183"/>
      <c r="Q136" s="181"/>
      <c r="R136" s="185"/>
      <c r="S136" s="184"/>
      <c r="T136" s="201"/>
      <c r="U136" s="201"/>
      <c r="V136" s="201"/>
      <c r="W136" s="201"/>
      <c r="X136" s="201"/>
      <c r="Y136" s="201"/>
      <c r="Z136" s="201"/>
      <c r="AA136" s="201"/>
      <c r="AB136" s="201"/>
      <c r="AC136" s="201"/>
    </row>
    <row r="137" spans="6:29" ht="15.75" customHeight="1">
      <c r="F137" s="201"/>
      <c r="G137" s="201"/>
      <c r="H137" s="201"/>
      <c r="I137" s="201"/>
      <c r="J137" s="201"/>
      <c r="K137" s="201"/>
      <c r="L137" s="201"/>
      <c r="M137" s="201"/>
      <c r="N137" s="182"/>
      <c r="O137" s="163"/>
      <c r="P137" s="183"/>
      <c r="Q137" s="163"/>
      <c r="R137" s="176"/>
      <c r="S137" s="184"/>
      <c r="T137" s="201"/>
      <c r="U137" s="201"/>
      <c r="V137" s="201"/>
      <c r="W137" s="201"/>
      <c r="X137" s="201"/>
      <c r="Y137" s="201"/>
      <c r="Z137" s="201"/>
      <c r="AA137" s="201"/>
      <c r="AB137" s="201"/>
      <c r="AC137" s="201"/>
    </row>
    <row r="138" spans="6:29" ht="15.75" customHeight="1">
      <c r="F138" s="201"/>
      <c r="G138" s="201"/>
      <c r="H138" s="201"/>
      <c r="I138" s="201"/>
      <c r="J138" s="201"/>
      <c r="K138" s="201"/>
      <c r="L138" s="201"/>
      <c r="M138" s="201"/>
      <c r="N138" s="182"/>
      <c r="O138" s="186"/>
      <c r="P138" s="183"/>
      <c r="Q138" s="186"/>
      <c r="R138" s="187"/>
      <c r="S138" s="184"/>
      <c r="T138" s="201"/>
      <c r="U138" s="201"/>
      <c r="V138" s="201"/>
      <c r="W138" s="201"/>
      <c r="X138" s="201"/>
      <c r="Y138" s="201"/>
      <c r="Z138" s="201"/>
      <c r="AA138" s="201"/>
      <c r="AB138" s="201"/>
      <c r="AC138" s="201"/>
    </row>
    <row r="139" spans="6:29" ht="15.75" customHeight="1">
      <c r="F139" s="201"/>
      <c r="G139" s="201"/>
      <c r="H139" s="201"/>
      <c r="I139" s="201"/>
      <c r="J139" s="201"/>
      <c r="K139" s="201"/>
      <c r="L139" s="201"/>
      <c r="M139" s="201"/>
      <c r="N139" s="182"/>
      <c r="O139" s="163"/>
      <c r="P139" s="183"/>
      <c r="Q139" s="163"/>
      <c r="R139" s="176"/>
      <c r="S139" s="184"/>
      <c r="T139" s="201"/>
      <c r="U139" s="201"/>
      <c r="V139" s="201"/>
      <c r="W139" s="201"/>
      <c r="X139" s="201"/>
      <c r="Y139" s="201"/>
      <c r="Z139" s="201"/>
      <c r="AA139" s="201"/>
      <c r="AB139" s="201"/>
      <c r="AC139" s="201"/>
    </row>
    <row r="140" spans="6:29" ht="15.75" customHeight="1">
      <c r="F140" s="201"/>
      <c r="G140" s="201"/>
      <c r="H140" s="201"/>
      <c r="I140" s="201"/>
      <c r="J140" s="201"/>
      <c r="K140" s="201"/>
      <c r="L140" s="201"/>
      <c r="M140" s="201"/>
      <c r="N140" s="182"/>
      <c r="O140" s="186"/>
      <c r="P140" s="183"/>
      <c r="Q140" s="186"/>
      <c r="R140" s="187"/>
      <c r="S140" s="184"/>
      <c r="T140" s="201"/>
      <c r="U140" s="201"/>
      <c r="V140" s="201"/>
      <c r="W140" s="201"/>
      <c r="X140" s="201"/>
      <c r="Y140" s="201"/>
      <c r="Z140" s="201"/>
      <c r="AA140" s="201"/>
      <c r="AB140" s="201"/>
      <c r="AC140" s="201"/>
    </row>
    <row r="141" spans="6:29" ht="15.75" customHeight="1">
      <c r="F141" s="201"/>
      <c r="G141" s="201"/>
      <c r="H141" s="201"/>
      <c r="I141" s="201"/>
      <c r="J141" s="201"/>
      <c r="K141" s="201"/>
      <c r="L141" s="201"/>
      <c r="M141" s="201"/>
      <c r="N141" s="182"/>
      <c r="O141" s="163"/>
      <c r="P141" s="183"/>
      <c r="Q141" s="163"/>
      <c r="R141" s="176"/>
      <c r="S141" s="184"/>
      <c r="T141" s="201"/>
      <c r="U141" s="201"/>
      <c r="V141" s="201"/>
      <c r="W141" s="201"/>
      <c r="X141" s="201"/>
      <c r="Y141" s="201"/>
      <c r="Z141" s="201"/>
      <c r="AA141" s="201"/>
      <c r="AB141" s="201"/>
      <c r="AC141" s="201"/>
    </row>
    <row r="142" spans="6:29" ht="15.75" customHeight="1">
      <c r="F142" s="201"/>
      <c r="G142" s="201"/>
      <c r="H142" s="201"/>
      <c r="I142" s="201"/>
      <c r="J142" s="201"/>
      <c r="K142" s="201"/>
      <c r="L142" s="201"/>
      <c r="M142" s="201"/>
      <c r="N142" s="182"/>
      <c r="O142" s="181"/>
      <c r="P142" s="183"/>
      <c r="Q142" s="181"/>
      <c r="R142" s="185"/>
      <c r="S142" s="184"/>
      <c r="T142" s="201"/>
      <c r="U142" s="201"/>
      <c r="V142" s="201"/>
      <c r="W142" s="201"/>
      <c r="X142" s="201"/>
      <c r="Y142" s="201"/>
      <c r="Z142" s="201"/>
      <c r="AA142" s="201"/>
      <c r="AB142" s="201"/>
      <c r="AC142" s="201"/>
    </row>
    <row r="143" spans="6:29" ht="15.75" customHeight="1">
      <c r="F143" s="201"/>
      <c r="G143" s="201"/>
      <c r="H143" s="201"/>
      <c r="I143" s="201"/>
      <c r="J143" s="201"/>
      <c r="K143" s="201"/>
      <c r="L143" s="201"/>
      <c r="M143" s="201"/>
      <c r="N143" s="182"/>
      <c r="O143" s="186"/>
      <c r="P143" s="183"/>
      <c r="Q143" s="186"/>
      <c r="R143" s="187"/>
      <c r="S143" s="184"/>
      <c r="T143" s="201"/>
      <c r="U143" s="201"/>
      <c r="V143" s="201"/>
      <c r="W143" s="201"/>
      <c r="X143" s="201"/>
      <c r="Y143" s="201"/>
      <c r="Z143" s="201"/>
      <c r="AA143" s="201"/>
      <c r="AB143" s="201"/>
      <c r="AC143" s="201"/>
    </row>
    <row r="144" spans="6:29" ht="15.75" customHeight="1">
      <c r="F144" s="201"/>
      <c r="G144" s="201"/>
      <c r="H144" s="201"/>
      <c r="I144" s="201"/>
      <c r="J144" s="201"/>
      <c r="K144" s="201"/>
      <c r="L144" s="201"/>
      <c r="M144" s="201"/>
      <c r="N144" s="182"/>
      <c r="O144" s="163"/>
      <c r="P144" s="183"/>
      <c r="Q144" s="163"/>
      <c r="R144" s="176"/>
      <c r="S144" s="184"/>
      <c r="T144" s="201"/>
      <c r="U144" s="201"/>
      <c r="V144" s="201"/>
      <c r="W144" s="201"/>
      <c r="X144" s="201"/>
      <c r="Y144" s="201"/>
      <c r="Z144" s="201"/>
      <c r="AA144" s="201"/>
      <c r="AB144" s="201"/>
      <c r="AC144" s="201"/>
    </row>
    <row r="145" spans="6:29" ht="15.75" customHeight="1">
      <c r="F145" s="201"/>
      <c r="G145" s="201"/>
      <c r="H145" s="201"/>
      <c r="I145" s="201"/>
      <c r="J145" s="201"/>
      <c r="K145" s="201"/>
      <c r="L145" s="201"/>
      <c r="M145" s="201"/>
      <c r="N145" s="182"/>
      <c r="O145" s="181"/>
      <c r="P145" s="183"/>
      <c r="Q145" s="181"/>
      <c r="R145" s="185"/>
      <c r="S145" s="184"/>
      <c r="T145" s="201"/>
      <c r="U145" s="201"/>
      <c r="V145" s="201"/>
      <c r="W145" s="201"/>
      <c r="X145" s="201"/>
      <c r="Y145" s="201"/>
      <c r="Z145" s="201"/>
      <c r="AA145" s="201"/>
      <c r="AB145" s="201"/>
      <c r="AC145" s="201"/>
    </row>
    <row r="146" spans="6:29" ht="15.75" customHeight="1">
      <c r="F146" s="201"/>
      <c r="G146" s="201"/>
      <c r="H146" s="201"/>
      <c r="I146" s="201"/>
      <c r="J146" s="201"/>
      <c r="K146" s="201"/>
      <c r="L146" s="201"/>
      <c r="M146" s="201"/>
      <c r="N146" s="182"/>
      <c r="O146" s="163"/>
      <c r="P146" s="183"/>
      <c r="Q146" s="163"/>
      <c r="R146" s="176"/>
      <c r="S146" s="184"/>
      <c r="T146" s="201"/>
      <c r="U146" s="201"/>
      <c r="V146" s="201"/>
      <c r="W146" s="201"/>
      <c r="X146" s="201"/>
      <c r="Y146" s="201"/>
      <c r="Z146" s="201"/>
      <c r="AA146" s="201"/>
      <c r="AB146" s="201"/>
      <c r="AC146" s="201"/>
    </row>
    <row r="147" spans="6:29" ht="15.75" customHeight="1">
      <c r="F147" s="201"/>
      <c r="G147" s="201"/>
      <c r="H147" s="201"/>
      <c r="I147" s="201"/>
      <c r="J147" s="201"/>
      <c r="K147" s="201"/>
      <c r="L147" s="201"/>
      <c r="M147" s="201"/>
      <c r="N147" s="182"/>
      <c r="O147" s="186"/>
      <c r="P147" s="183"/>
      <c r="Q147" s="186"/>
      <c r="R147" s="187"/>
      <c r="S147" s="184"/>
      <c r="T147" s="201"/>
      <c r="U147" s="201"/>
      <c r="V147" s="201"/>
      <c r="W147" s="201"/>
      <c r="X147" s="201"/>
      <c r="Y147" s="201"/>
      <c r="Z147" s="201"/>
      <c r="AA147" s="201"/>
      <c r="AB147" s="201"/>
      <c r="AC147" s="201"/>
    </row>
    <row r="148" spans="6:29" ht="15.75" customHeight="1">
      <c r="F148" s="201"/>
      <c r="G148" s="201"/>
      <c r="H148" s="201"/>
      <c r="I148" s="201"/>
      <c r="J148" s="201"/>
      <c r="K148" s="201"/>
      <c r="L148" s="201"/>
      <c r="M148" s="201"/>
      <c r="N148" s="182"/>
      <c r="O148" s="163"/>
      <c r="P148" s="183"/>
      <c r="Q148" s="163"/>
      <c r="R148" s="176"/>
      <c r="S148" s="184"/>
      <c r="T148" s="201"/>
      <c r="U148" s="201"/>
      <c r="V148" s="201"/>
      <c r="W148" s="201"/>
      <c r="X148" s="201"/>
      <c r="Y148" s="201"/>
      <c r="Z148" s="201"/>
      <c r="AA148" s="201"/>
      <c r="AB148" s="201"/>
      <c r="AC148" s="201"/>
    </row>
    <row r="149" spans="6:29" ht="15.75" customHeight="1">
      <c r="N149" s="182"/>
      <c r="O149" s="186"/>
      <c r="P149" s="183"/>
      <c r="Q149" s="186"/>
      <c r="R149" s="187"/>
      <c r="S149" s="184"/>
    </row>
    <row r="150" spans="6:29" ht="15.75" customHeight="1">
      <c r="N150" s="182"/>
      <c r="O150" s="186"/>
      <c r="P150" s="183"/>
      <c r="Q150" s="186"/>
      <c r="R150" s="187"/>
      <c r="S150" s="184"/>
    </row>
    <row r="151" spans="6:29" ht="15.75" customHeight="1">
      <c r="N151" s="182"/>
      <c r="O151" s="163"/>
      <c r="P151" s="183"/>
      <c r="Q151" s="163"/>
      <c r="R151" s="176"/>
      <c r="S151" s="184"/>
    </row>
    <row r="152" spans="6:29" ht="15.75" customHeight="1">
      <c r="N152" s="182"/>
      <c r="O152" s="181"/>
      <c r="P152" s="183"/>
      <c r="Q152" s="181"/>
      <c r="R152" s="185"/>
      <c r="S152" s="184"/>
    </row>
    <row r="153" spans="6:29" ht="15.75" customHeight="1">
      <c r="N153" s="182"/>
      <c r="O153" s="163"/>
      <c r="P153" s="183"/>
      <c r="Q153" s="163"/>
      <c r="R153" s="176"/>
      <c r="S153" s="184"/>
    </row>
    <row r="154" spans="6:29" ht="15.75" customHeight="1">
      <c r="N154" s="182"/>
      <c r="O154" s="186"/>
      <c r="P154" s="183"/>
      <c r="Q154" s="186"/>
      <c r="R154" s="187"/>
      <c r="S154" s="184"/>
    </row>
    <row r="155" spans="6:29" ht="15.75" customHeight="1">
      <c r="N155" s="182"/>
      <c r="O155" s="163"/>
      <c r="P155" s="183"/>
      <c r="Q155" s="163"/>
      <c r="R155" s="176"/>
      <c r="S155" s="184"/>
    </row>
    <row r="156" spans="6:29" ht="15.75" customHeight="1">
      <c r="N156" s="182"/>
      <c r="O156" s="186"/>
      <c r="P156" s="183"/>
      <c r="Q156" s="186"/>
      <c r="R156" s="187"/>
      <c r="S156" s="184"/>
    </row>
    <row r="157" spans="6:29" ht="15.75" customHeight="1">
      <c r="N157" s="182"/>
      <c r="O157" s="163"/>
      <c r="P157" s="183"/>
      <c r="Q157" s="163"/>
      <c r="R157" s="176"/>
      <c r="S157" s="184"/>
    </row>
    <row r="158" spans="6:29" ht="15.75" customHeight="1">
      <c r="N158" s="182"/>
      <c r="O158" s="181"/>
      <c r="P158" s="183"/>
      <c r="Q158" s="181"/>
      <c r="R158" s="185"/>
      <c r="S158" s="184"/>
    </row>
    <row r="159" spans="6:29" ht="15.75" customHeight="1">
      <c r="N159" s="182"/>
      <c r="O159" s="163"/>
      <c r="P159" s="183"/>
      <c r="Q159" s="163"/>
      <c r="R159" s="176"/>
      <c r="S159" s="184"/>
    </row>
    <row r="160" spans="6:29" ht="15.75" customHeight="1">
      <c r="N160" s="182"/>
      <c r="O160" s="186"/>
      <c r="P160" s="183"/>
      <c r="Q160" s="186"/>
      <c r="R160" s="187"/>
      <c r="S160" s="184"/>
    </row>
    <row r="161" spans="14:19" ht="15.75" customHeight="1">
      <c r="N161" s="182"/>
      <c r="O161" s="163"/>
      <c r="P161" s="183"/>
      <c r="Q161" s="163"/>
      <c r="R161" s="176"/>
      <c r="S161" s="184"/>
    </row>
    <row r="162" spans="14:19" ht="15.75" customHeight="1">
      <c r="N162" s="182"/>
      <c r="O162" s="186"/>
      <c r="P162" s="183"/>
      <c r="Q162" s="186"/>
      <c r="R162" s="187"/>
      <c r="S162" s="184"/>
    </row>
    <row r="163" spans="14:19" ht="15.75" customHeight="1">
      <c r="N163" s="182"/>
      <c r="O163" s="163"/>
      <c r="P163" s="183"/>
      <c r="Q163" s="163"/>
      <c r="R163" s="176"/>
      <c r="S163" s="184"/>
    </row>
    <row r="164" spans="14:19" ht="15.75" customHeight="1">
      <c r="N164" s="182"/>
      <c r="O164" s="186"/>
      <c r="P164" s="183"/>
      <c r="Q164" s="186"/>
      <c r="R164" s="187"/>
      <c r="S164" s="184"/>
    </row>
    <row r="165" spans="14:19" ht="15.75" customHeight="1">
      <c r="N165" s="182"/>
      <c r="O165" s="163"/>
      <c r="P165" s="183"/>
      <c r="Q165" s="163"/>
      <c r="R165" s="176"/>
      <c r="S165" s="184"/>
    </row>
    <row r="166" spans="14:19" ht="15.75" customHeight="1">
      <c r="N166" s="182"/>
      <c r="O166" s="181"/>
      <c r="P166" s="183"/>
      <c r="Q166" s="181"/>
      <c r="R166" s="185"/>
      <c r="S166" s="184"/>
    </row>
    <row r="167" spans="14:19" ht="15.75" customHeight="1">
      <c r="N167" s="182"/>
      <c r="O167" s="163"/>
      <c r="P167" s="183"/>
      <c r="Q167" s="163"/>
      <c r="R167" s="176"/>
      <c r="S167" s="184"/>
    </row>
    <row r="168" spans="14:19" ht="15.75" customHeight="1">
      <c r="N168" s="182"/>
      <c r="O168" s="186"/>
      <c r="P168" s="183"/>
      <c r="Q168" s="186"/>
      <c r="R168" s="187"/>
      <c r="S168" s="184"/>
    </row>
    <row r="169" spans="14:19" ht="15.75" customHeight="1">
      <c r="N169" s="182"/>
      <c r="O169" s="163"/>
      <c r="P169" s="183"/>
      <c r="Q169" s="163"/>
      <c r="R169" s="176"/>
      <c r="S169" s="184"/>
    </row>
    <row r="170" spans="14:19" ht="15.75" customHeight="1">
      <c r="N170" s="182"/>
      <c r="O170" s="186"/>
      <c r="P170" s="183"/>
      <c r="Q170" s="186"/>
      <c r="R170" s="187"/>
      <c r="S170" s="184"/>
    </row>
    <row r="171" spans="14:19" ht="15.75" customHeight="1">
      <c r="N171" s="182"/>
      <c r="O171" s="163"/>
      <c r="P171" s="183"/>
      <c r="Q171" s="163"/>
      <c r="R171" s="176"/>
      <c r="S171" s="184"/>
    </row>
    <row r="172" spans="14:19" ht="15.75" customHeight="1">
      <c r="N172" s="182"/>
      <c r="O172" s="181"/>
      <c r="P172" s="183"/>
      <c r="Q172" s="181"/>
      <c r="R172" s="185"/>
      <c r="S172" s="184"/>
    </row>
    <row r="173" spans="14:19" ht="15.75" customHeight="1">
      <c r="N173" s="182"/>
      <c r="O173" s="163"/>
      <c r="P173" s="183"/>
      <c r="Q173" s="163"/>
      <c r="R173" s="176"/>
      <c r="S173" s="184"/>
    </row>
    <row r="174" spans="14:19" ht="15.75" customHeight="1">
      <c r="N174" s="182"/>
      <c r="O174" s="186"/>
      <c r="P174" s="183"/>
      <c r="Q174" s="186"/>
      <c r="R174" s="187"/>
      <c r="S174" s="184"/>
    </row>
    <row r="175" spans="14:19" ht="15.75" customHeight="1">
      <c r="N175" s="182"/>
      <c r="O175" s="163"/>
      <c r="P175" s="183"/>
      <c r="Q175" s="163"/>
      <c r="R175" s="176"/>
      <c r="S175" s="184"/>
    </row>
    <row r="176" spans="14:19" ht="15.75" customHeight="1">
      <c r="N176" s="182"/>
      <c r="O176" s="186"/>
      <c r="P176" s="183"/>
      <c r="Q176" s="186"/>
      <c r="R176" s="187"/>
      <c r="S176" s="184"/>
    </row>
    <row r="177" spans="14:19" ht="15.75" customHeight="1">
      <c r="N177" s="182"/>
      <c r="O177" s="163"/>
      <c r="P177" s="183"/>
      <c r="Q177" s="163"/>
      <c r="R177" s="176"/>
      <c r="S177" s="184"/>
    </row>
    <row r="178" spans="14:19" ht="15.75" customHeight="1">
      <c r="N178" s="182"/>
      <c r="O178" s="181"/>
      <c r="P178" s="183"/>
      <c r="Q178" s="181"/>
      <c r="R178" s="185"/>
      <c r="S178" s="184"/>
    </row>
    <row r="179" spans="14:19" ht="15.75" customHeight="1">
      <c r="N179" s="182"/>
      <c r="O179" s="163"/>
      <c r="P179" s="183"/>
      <c r="Q179" s="163"/>
      <c r="R179" s="176"/>
      <c r="S179" s="184"/>
    </row>
    <row r="180" spans="14:19" ht="15.75" customHeight="1">
      <c r="N180" s="182"/>
      <c r="O180" s="186"/>
      <c r="P180" s="183"/>
      <c r="Q180" s="186"/>
      <c r="R180" s="187"/>
      <c r="S180" s="184"/>
    </row>
    <row r="181" spans="14:19" ht="15.75" customHeight="1">
      <c r="N181" s="182"/>
      <c r="O181" s="163"/>
      <c r="P181" s="183"/>
      <c r="Q181" s="163"/>
      <c r="R181" s="176"/>
      <c r="S181" s="184"/>
    </row>
    <row r="182" spans="14:19" ht="15.75" customHeight="1">
      <c r="N182" s="182"/>
      <c r="O182" s="186"/>
      <c r="P182" s="183"/>
      <c r="Q182" s="186"/>
      <c r="R182" s="187"/>
      <c r="S182" s="184"/>
    </row>
    <row r="183" spans="14:19" ht="15.75" customHeight="1">
      <c r="N183" s="182"/>
      <c r="O183" s="163"/>
      <c r="P183" s="183"/>
      <c r="Q183" s="163"/>
      <c r="R183" s="176"/>
      <c r="S183" s="184"/>
    </row>
    <row r="184" spans="14:19" ht="15.75" customHeight="1">
      <c r="N184" s="182"/>
      <c r="O184" s="181"/>
      <c r="P184" s="183"/>
      <c r="Q184" s="181"/>
      <c r="R184" s="185"/>
      <c r="S184" s="184"/>
    </row>
    <row r="185" spans="14:19" ht="15.75" customHeight="1">
      <c r="N185" s="182"/>
      <c r="O185" s="186"/>
      <c r="P185" s="183"/>
      <c r="Q185" s="186"/>
      <c r="R185" s="187"/>
      <c r="S185" s="184"/>
    </row>
    <row r="186" spans="14:19" ht="15.75" customHeight="1">
      <c r="N186" s="182"/>
      <c r="O186" s="163"/>
      <c r="P186" s="183"/>
      <c r="Q186" s="163"/>
      <c r="R186" s="176"/>
      <c r="S186" s="184"/>
    </row>
    <row r="187" spans="14:19" ht="15.75" customHeight="1">
      <c r="N187" s="182"/>
      <c r="O187" s="181"/>
      <c r="P187" s="183"/>
      <c r="Q187" s="181"/>
      <c r="R187" s="185"/>
      <c r="S187" s="184"/>
    </row>
    <row r="188" spans="14:19" ht="15.75" customHeight="1">
      <c r="N188" s="182"/>
      <c r="O188" s="163"/>
      <c r="P188" s="183"/>
      <c r="Q188" s="163"/>
      <c r="R188" s="176"/>
      <c r="S188" s="184"/>
    </row>
    <row r="189" spans="14:19" ht="15.75" customHeight="1">
      <c r="N189" s="182"/>
      <c r="O189" s="186"/>
      <c r="P189" s="183"/>
      <c r="Q189" s="186"/>
      <c r="R189" s="187"/>
      <c r="S189" s="184"/>
    </row>
    <row r="190" spans="14:19" ht="15.75" customHeight="1">
      <c r="N190" s="182"/>
      <c r="O190" s="163"/>
      <c r="P190" s="183"/>
      <c r="Q190" s="163"/>
      <c r="R190" s="176"/>
      <c r="S190" s="184"/>
    </row>
    <row r="191" spans="14:19" ht="15.75" customHeight="1">
      <c r="N191" s="182"/>
      <c r="O191" s="186"/>
      <c r="P191" s="183"/>
      <c r="Q191" s="186"/>
      <c r="R191" s="187"/>
      <c r="S191" s="184"/>
    </row>
    <row r="192" spans="14:19" ht="15.75" customHeight="1">
      <c r="N192" s="182"/>
      <c r="O192" s="186"/>
      <c r="P192" s="183"/>
      <c r="Q192" s="186"/>
      <c r="R192" s="187"/>
      <c r="S192" s="184"/>
    </row>
    <row r="193" spans="14:19" ht="15.75" customHeight="1">
      <c r="N193" s="182"/>
      <c r="O193" s="163"/>
      <c r="P193" s="183"/>
      <c r="Q193" s="163"/>
      <c r="R193" s="176"/>
      <c r="S193" s="184"/>
    </row>
    <row r="194" spans="14:19" ht="15.75" customHeight="1">
      <c r="N194" s="182"/>
      <c r="O194" s="181"/>
      <c r="P194" s="183"/>
      <c r="Q194" s="181"/>
      <c r="R194" s="185"/>
      <c r="S194" s="184"/>
    </row>
    <row r="195" spans="14:19" ht="15.75" customHeight="1">
      <c r="N195" s="182"/>
      <c r="O195" s="163"/>
      <c r="P195" s="183"/>
      <c r="Q195" s="163"/>
      <c r="R195" s="176"/>
      <c r="S195" s="184"/>
    </row>
    <row r="196" spans="14:19" ht="15.75" customHeight="1">
      <c r="N196" s="182"/>
      <c r="O196" s="186"/>
      <c r="P196" s="183"/>
      <c r="Q196" s="186"/>
      <c r="R196" s="187"/>
      <c r="S196" s="184"/>
    </row>
    <row r="197" spans="14:19" ht="15.75" customHeight="1">
      <c r="N197" s="182"/>
      <c r="O197" s="163"/>
      <c r="P197" s="183"/>
      <c r="Q197" s="163"/>
      <c r="R197" s="176"/>
      <c r="S197" s="184"/>
    </row>
    <row r="198" spans="14:19" ht="15.75" customHeight="1">
      <c r="N198" s="182"/>
      <c r="O198" s="186"/>
      <c r="P198" s="183"/>
      <c r="Q198" s="186"/>
      <c r="R198" s="187"/>
      <c r="S198" s="184"/>
    </row>
    <row r="199" spans="14:19" ht="15.75" customHeight="1">
      <c r="N199" s="182"/>
      <c r="O199" s="163"/>
      <c r="P199" s="183"/>
      <c r="Q199" s="163"/>
      <c r="R199" s="176"/>
      <c r="S199" s="184"/>
    </row>
    <row r="200" spans="14:19" ht="15.75" customHeight="1">
      <c r="N200" s="182"/>
      <c r="O200" s="181"/>
      <c r="P200" s="183"/>
      <c r="Q200" s="181"/>
      <c r="R200" s="185"/>
      <c r="S200" s="184"/>
    </row>
    <row r="201" spans="14:19" ht="15.75" customHeight="1">
      <c r="N201" s="182"/>
      <c r="O201" s="163"/>
      <c r="P201" s="183"/>
      <c r="Q201" s="163"/>
      <c r="R201" s="176"/>
      <c r="S201" s="184"/>
    </row>
    <row r="202" spans="14:19" ht="15.75" customHeight="1">
      <c r="N202" s="182"/>
      <c r="O202" s="186"/>
      <c r="P202" s="183"/>
      <c r="Q202" s="186"/>
      <c r="R202" s="187"/>
      <c r="S202" s="184"/>
    </row>
    <row r="203" spans="14:19" ht="15.75" customHeight="1">
      <c r="N203" s="182"/>
      <c r="O203" s="163"/>
      <c r="P203" s="183"/>
      <c r="Q203" s="163"/>
      <c r="R203" s="176"/>
      <c r="S203" s="184"/>
    </row>
    <row r="204" spans="14:19" ht="15.75" customHeight="1">
      <c r="N204" s="182"/>
      <c r="O204" s="186"/>
      <c r="P204" s="183"/>
      <c r="Q204" s="186"/>
      <c r="R204" s="187"/>
      <c r="S204" s="184"/>
    </row>
    <row r="205" spans="14:19" ht="15.75" customHeight="1">
      <c r="N205" s="182"/>
      <c r="O205" s="163"/>
      <c r="P205" s="183"/>
      <c r="Q205" s="163"/>
      <c r="R205" s="176"/>
      <c r="S205" s="184"/>
    </row>
    <row r="206" spans="14:19" ht="15.75" customHeight="1">
      <c r="N206" s="182"/>
      <c r="O206" s="186"/>
      <c r="P206" s="183"/>
      <c r="Q206" s="186"/>
      <c r="R206" s="187"/>
      <c r="S206" s="184"/>
    </row>
    <row r="207" spans="14:19" ht="15.75" customHeight="1">
      <c r="N207" s="182"/>
      <c r="O207" s="163"/>
      <c r="P207" s="183"/>
      <c r="Q207" s="163"/>
      <c r="R207" s="176"/>
      <c r="S207" s="184"/>
    </row>
    <row r="208" spans="14:19" ht="15.75" customHeight="1">
      <c r="N208" s="182"/>
      <c r="O208" s="181"/>
      <c r="P208" s="183"/>
      <c r="Q208" s="181"/>
      <c r="R208" s="185"/>
      <c r="S208" s="184"/>
    </row>
    <row r="209" spans="14:19" ht="15.75" customHeight="1">
      <c r="N209" s="182"/>
      <c r="O209" s="163"/>
      <c r="P209" s="183"/>
      <c r="Q209" s="163"/>
      <c r="R209" s="176"/>
      <c r="S209" s="184"/>
    </row>
    <row r="210" spans="14:19" ht="15.75" customHeight="1">
      <c r="N210" s="182"/>
      <c r="O210" s="186"/>
      <c r="P210" s="183"/>
      <c r="Q210" s="186"/>
      <c r="R210" s="187"/>
      <c r="S210" s="184"/>
    </row>
    <row r="211" spans="14:19" ht="15.75" customHeight="1">
      <c r="N211" s="182"/>
      <c r="O211" s="163"/>
      <c r="P211" s="183"/>
      <c r="Q211" s="163"/>
      <c r="R211" s="176"/>
      <c r="S211" s="184"/>
    </row>
    <row r="212" spans="14:19" ht="15.75" customHeight="1">
      <c r="N212" s="182"/>
      <c r="O212" s="186"/>
      <c r="P212" s="183"/>
      <c r="Q212" s="186"/>
      <c r="R212" s="187"/>
      <c r="S212" s="184"/>
    </row>
    <row r="213" spans="14:19" ht="15.75" customHeight="1">
      <c r="N213" s="182"/>
      <c r="O213" s="163"/>
      <c r="P213" s="183"/>
      <c r="Q213" s="163"/>
      <c r="R213" s="176"/>
      <c r="S213" s="184"/>
    </row>
    <row r="214" spans="14:19" ht="15.75" customHeight="1">
      <c r="N214" s="182"/>
      <c r="O214" s="181"/>
      <c r="P214" s="183"/>
      <c r="Q214" s="181"/>
      <c r="R214" s="185"/>
      <c r="S214" s="184"/>
    </row>
    <row r="215" spans="14:19" ht="15.75" customHeight="1">
      <c r="N215" s="182"/>
      <c r="O215" s="163"/>
      <c r="P215" s="183"/>
      <c r="Q215" s="163"/>
      <c r="R215" s="176"/>
      <c r="S215" s="184"/>
    </row>
    <row r="216" spans="14:19" ht="15.75" customHeight="1">
      <c r="N216" s="182"/>
      <c r="O216" s="186"/>
      <c r="P216" s="183"/>
      <c r="Q216" s="186"/>
      <c r="R216" s="187"/>
      <c r="S216" s="184"/>
    </row>
    <row r="217" spans="14:19" ht="15.75" customHeight="1">
      <c r="N217" s="182"/>
      <c r="O217" s="163"/>
      <c r="P217" s="183"/>
      <c r="Q217" s="163"/>
      <c r="R217" s="176"/>
      <c r="S217" s="184"/>
    </row>
    <row r="218" spans="14:19" ht="15.75" customHeight="1">
      <c r="N218" s="182"/>
      <c r="O218" s="186"/>
      <c r="P218" s="183"/>
      <c r="Q218" s="186"/>
      <c r="R218" s="187"/>
      <c r="S218" s="184"/>
    </row>
    <row r="219" spans="14:19" ht="15.75" customHeight="1">
      <c r="N219" s="182"/>
      <c r="O219" s="163"/>
      <c r="P219" s="183"/>
      <c r="Q219" s="163"/>
      <c r="R219" s="176"/>
      <c r="S219" s="184"/>
    </row>
    <row r="220" spans="14:19" ht="15.75" customHeight="1">
      <c r="N220" s="182"/>
      <c r="O220" s="181"/>
      <c r="P220" s="183"/>
      <c r="Q220" s="181"/>
      <c r="R220" s="185"/>
      <c r="S220" s="184"/>
    </row>
    <row r="221" spans="14:19" ht="15.75" customHeight="1">
      <c r="N221" s="182"/>
      <c r="O221" s="163"/>
      <c r="P221" s="183"/>
      <c r="Q221" s="163"/>
      <c r="R221" s="176"/>
      <c r="S221" s="184"/>
    </row>
    <row r="222" spans="14:19" ht="15.75" customHeight="1">
      <c r="N222" s="182"/>
      <c r="O222" s="186"/>
      <c r="P222" s="183"/>
      <c r="Q222" s="186"/>
      <c r="R222" s="187"/>
      <c r="S222" s="184"/>
    </row>
    <row r="223" spans="14:19" ht="15.75" customHeight="1">
      <c r="N223" s="182"/>
      <c r="O223" s="163"/>
      <c r="P223" s="183"/>
      <c r="Q223" s="163"/>
      <c r="R223" s="176"/>
      <c r="S223" s="184"/>
    </row>
    <row r="224" spans="14:19" ht="15.75" customHeight="1">
      <c r="N224" s="182"/>
      <c r="O224" s="186"/>
      <c r="P224" s="183"/>
      <c r="Q224" s="186"/>
      <c r="R224" s="187"/>
      <c r="S224" s="184"/>
    </row>
    <row r="225" spans="14:19" ht="15.75" customHeight="1">
      <c r="N225" s="182"/>
      <c r="O225" s="163"/>
      <c r="P225" s="183"/>
      <c r="Q225" s="163"/>
      <c r="R225" s="176"/>
      <c r="S225" s="184"/>
    </row>
    <row r="226" spans="14:19" ht="15.75" customHeight="1">
      <c r="N226" s="182"/>
      <c r="O226" s="181"/>
      <c r="P226" s="183"/>
      <c r="Q226" s="181"/>
      <c r="R226" s="185"/>
      <c r="S226" s="184"/>
    </row>
    <row r="227" spans="14:19" ht="15.75" customHeight="1">
      <c r="N227" s="182"/>
      <c r="O227" s="186"/>
      <c r="P227" s="183"/>
      <c r="Q227" s="186"/>
      <c r="R227" s="187"/>
      <c r="S227" s="184"/>
    </row>
    <row r="228" spans="14:19" ht="15.75" customHeight="1">
      <c r="N228" s="182"/>
      <c r="O228" s="163"/>
      <c r="P228" s="183"/>
      <c r="Q228" s="163"/>
      <c r="R228" s="176"/>
      <c r="S228" s="184"/>
    </row>
    <row r="229" spans="14:19" ht="15.75" customHeight="1">
      <c r="N229" s="182"/>
      <c r="O229" s="181"/>
      <c r="P229" s="183"/>
      <c r="Q229" s="181"/>
      <c r="R229" s="185"/>
      <c r="S229" s="184"/>
    </row>
    <row r="230" spans="14:19" ht="15.75" customHeight="1">
      <c r="N230" s="182"/>
      <c r="O230" s="163"/>
      <c r="P230" s="183"/>
      <c r="Q230" s="163"/>
      <c r="R230" s="176"/>
      <c r="S230" s="184"/>
    </row>
    <row r="231" spans="14:19" ht="15.75" customHeight="1">
      <c r="N231" s="182"/>
      <c r="O231" s="186"/>
      <c r="P231" s="183"/>
      <c r="Q231" s="186"/>
      <c r="R231" s="187"/>
      <c r="S231" s="184"/>
    </row>
    <row r="232" spans="14:19" ht="15.75" customHeight="1">
      <c r="N232" s="182"/>
      <c r="O232" s="163"/>
      <c r="P232" s="183"/>
      <c r="Q232" s="163"/>
      <c r="R232" s="176"/>
      <c r="S232" s="184"/>
    </row>
    <row r="233" spans="14:19" ht="15.75" customHeight="1">
      <c r="N233" s="182"/>
      <c r="O233" s="186"/>
      <c r="P233" s="183"/>
      <c r="Q233" s="186"/>
      <c r="R233" s="187"/>
      <c r="S233" s="184"/>
    </row>
    <row r="234" spans="14:19" ht="15.75" customHeight="1">
      <c r="N234" s="182"/>
      <c r="O234" s="186"/>
      <c r="P234" s="183"/>
      <c r="Q234" s="186"/>
      <c r="R234" s="187"/>
      <c r="S234" s="184"/>
    </row>
    <row r="235" spans="14:19" ht="15.75" customHeight="1">
      <c r="N235" s="182"/>
      <c r="O235" s="163"/>
      <c r="P235" s="183"/>
      <c r="Q235" s="163"/>
      <c r="R235" s="176"/>
      <c r="S235" s="184"/>
    </row>
    <row r="236" spans="14:19" ht="15.75" customHeight="1">
      <c r="N236" s="182"/>
      <c r="O236" s="181"/>
      <c r="P236" s="183"/>
      <c r="Q236" s="181"/>
      <c r="R236" s="185"/>
      <c r="S236" s="184"/>
    </row>
    <row r="237" spans="14:19" ht="15.75" customHeight="1">
      <c r="N237" s="182"/>
      <c r="O237" s="163"/>
      <c r="P237" s="183"/>
      <c r="Q237" s="163"/>
      <c r="R237" s="176"/>
      <c r="S237" s="184"/>
    </row>
    <row r="238" spans="14:19" ht="15.75" customHeight="1">
      <c r="N238" s="182"/>
      <c r="O238" s="186"/>
      <c r="P238" s="183"/>
      <c r="Q238" s="186"/>
      <c r="R238" s="187"/>
      <c r="S238" s="184"/>
    </row>
    <row r="239" spans="14:19" ht="15.75" customHeight="1">
      <c r="N239" s="182"/>
      <c r="O239" s="163"/>
      <c r="P239" s="183"/>
      <c r="Q239" s="163"/>
      <c r="R239" s="176"/>
      <c r="S239" s="184"/>
    </row>
    <row r="240" spans="14:19" ht="15.75" customHeight="1">
      <c r="N240" s="182"/>
      <c r="O240" s="186"/>
      <c r="P240" s="183"/>
      <c r="Q240" s="186"/>
      <c r="R240" s="187"/>
      <c r="S240" s="184"/>
    </row>
    <row r="241" spans="14:19" ht="15.75" customHeight="1">
      <c r="N241" s="182"/>
      <c r="O241" s="163"/>
      <c r="P241" s="183"/>
      <c r="Q241" s="163"/>
      <c r="R241" s="176"/>
      <c r="S241" s="184"/>
    </row>
    <row r="242" spans="14:19" ht="15.75" customHeight="1">
      <c r="N242" s="182"/>
      <c r="O242" s="181"/>
      <c r="P242" s="183"/>
      <c r="Q242" s="181"/>
      <c r="R242" s="185"/>
      <c r="S242" s="184"/>
    </row>
    <row r="243" spans="14:19" ht="15.75" customHeight="1">
      <c r="N243" s="182"/>
      <c r="O243" s="163"/>
      <c r="P243" s="183"/>
      <c r="Q243" s="163"/>
      <c r="R243" s="176"/>
      <c r="S243" s="184"/>
    </row>
    <row r="244" spans="14:19" ht="15.75" customHeight="1">
      <c r="N244" s="182"/>
      <c r="O244" s="186"/>
      <c r="P244" s="183"/>
      <c r="Q244" s="186"/>
      <c r="R244" s="187"/>
      <c r="S244" s="184"/>
    </row>
    <row r="245" spans="14:19" ht="15.75" customHeight="1">
      <c r="N245" s="182"/>
      <c r="O245" s="163"/>
      <c r="P245" s="183"/>
      <c r="Q245" s="163"/>
      <c r="R245" s="176"/>
      <c r="S245" s="184"/>
    </row>
    <row r="246" spans="14:19" ht="15.75" customHeight="1">
      <c r="N246" s="182"/>
      <c r="O246" s="186"/>
      <c r="P246" s="183"/>
      <c r="Q246" s="186"/>
      <c r="R246" s="187"/>
      <c r="S246" s="184"/>
    </row>
    <row r="247" spans="14:19" ht="15.75" customHeight="1">
      <c r="N247" s="182"/>
      <c r="O247" s="163"/>
      <c r="P247" s="183"/>
      <c r="Q247" s="163"/>
      <c r="R247" s="176"/>
      <c r="S247" s="184"/>
    </row>
    <row r="248" spans="14:19" ht="15.75" customHeight="1">
      <c r="N248" s="182"/>
      <c r="O248" s="186"/>
      <c r="P248" s="183"/>
      <c r="Q248" s="186"/>
      <c r="R248" s="187"/>
      <c r="S248" s="184"/>
    </row>
    <row r="249" spans="14:19" ht="15.75" customHeight="1">
      <c r="N249" s="182"/>
      <c r="O249" s="163"/>
      <c r="P249" s="183"/>
      <c r="Q249" s="163"/>
      <c r="R249" s="176"/>
      <c r="S249" s="184"/>
    </row>
    <row r="250" spans="14:19" ht="15.75" customHeight="1">
      <c r="N250" s="182"/>
      <c r="O250" s="181"/>
      <c r="P250" s="183"/>
      <c r="Q250" s="181"/>
      <c r="R250" s="185"/>
      <c r="S250" s="184"/>
    </row>
    <row r="251" spans="14:19" ht="15.75" customHeight="1">
      <c r="N251" s="182"/>
      <c r="O251" s="163"/>
      <c r="P251" s="183"/>
      <c r="Q251" s="163"/>
      <c r="R251" s="176"/>
      <c r="S251" s="184"/>
    </row>
    <row r="252" spans="14:19" ht="15.75" customHeight="1">
      <c r="N252" s="182"/>
      <c r="O252" s="186"/>
      <c r="P252" s="183"/>
      <c r="Q252" s="186"/>
      <c r="R252" s="187"/>
      <c r="S252" s="184"/>
    </row>
    <row r="253" spans="14:19" ht="15.75" customHeight="1">
      <c r="N253" s="182"/>
      <c r="O253" s="163"/>
      <c r="P253" s="183"/>
      <c r="Q253" s="163"/>
      <c r="R253" s="176"/>
      <c r="S253" s="184"/>
    </row>
    <row r="254" spans="14:19" ht="15.75" customHeight="1">
      <c r="N254" s="182"/>
      <c r="O254" s="186"/>
      <c r="P254" s="183"/>
      <c r="Q254" s="186"/>
      <c r="R254" s="187"/>
      <c r="S254" s="184"/>
    </row>
    <row r="255" spans="14:19" ht="15.75" customHeight="1">
      <c r="N255" s="182"/>
      <c r="O255" s="163"/>
      <c r="P255" s="183"/>
      <c r="Q255" s="163"/>
      <c r="R255" s="176"/>
      <c r="S255" s="184"/>
    </row>
    <row r="256" spans="14:19" ht="15.75" customHeight="1">
      <c r="N256" s="182"/>
      <c r="O256" s="181"/>
      <c r="P256" s="183"/>
      <c r="Q256" s="181"/>
      <c r="R256" s="185"/>
      <c r="S256" s="184"/>
    </row>
    <row r="257" spans="14:19" ht="15.75" customHeight="1">
      <c r="N257" s="182"/>
      <c r="O257" s="163"/>
      <c r="P257" s="183"/>
      <c r="Q257" s="163"/>
      <c r="R257" s="176"/>
      <c r="S257" s="184"/>
    </row>
    <row r="258" spans="14:19" ht="15.75" customHeight="1">
      <c r="N258" s="182"/>
      <c r="O258" s="186"/>
      <c r="P258" s="183"/>
      <c r="Q258" s="186"/>
      <c r="R258" s="187"/>
      <c r="S258" s="184"/>
    </row>
    <row r="259" spans="14:19" ht="15.75" customHeight="1">
      <c r="N259" s="182"/>
      <c r="O259" s="163"/>
      <c r="P259" s="183"/>
      <c r="Q259" s="163"/>
      <c r="R259" s="176"/>
      <c r="S259" s="184"/>
    </row>
    <row r="260" spans="14:19" ht="15.75" customHeight="1">
      <c r="N260" s="182"/>
      <c r="O260" s="186"/>
      <c r="P260" s="183"/>
      <c r="Q260" s="186"/>
      <c r="R260" s="187"/>
      <c r="S260" s="184"/>
    </row>
    <row r="261" spans="14:19" ht="15.75" customHeight="1">
      <c r="N261" s="182"/>
      <c r="O261" s="163"/>
      <c r="P261" s="183"/>
      <c r="Q261" s="163"/>
      <c r="R261" s="176"/>
      <c r="S261" s="184"/>
    </row>
    <row r="262" spans="14:19" ht="15.75" customHeight="1">
      <c r="N262" s="182"/>
      <c r="O262" s="181"/>
      <c r="P262" s="183"/>
      <c r="Q262" s="181"/>
      <c r="R262" s="185"/>
      <c r="S262" s="184"/>
    </row>
    <row r="263" spans="14:19" ht="15.75" customHeight="1">
      <c r="N263" s="182"/>
      <c r="O263" s="163"/>
      <c r="P263" s="183"/>
      <c r="Q263" s="163"/>
      <c r="R263" s="176"/>
      <c r="S263" s="184"/>
    </row>
    <row r="264" spans="14:19" ht="15.75" customHeight="1">
      <c r="N264" s="182"/>
      <c r="O264" s="186"/>
      <c r="P264" s="183"/>
      <c r="Q264" s="186"/>
      <c r="R264" s="187"/>
      <c r="S264" s="184"/>
    </row>
    <row r="265" spans="14:19" ht="15.75" customHeight="1">
      <c r="N265" s="182"/>
      <c r="O265" s="163"/>
      <c r="P265" s="183"/>
      <c r="Q265" s="163"/>
      <c r="R265" s="176"/>
      <c r="S265" s="184"/>
    </row>
    <row r="266" spans="14:19" ht="15.75" customHeight="1">
      <c r="N266" s="182"/>
      <c r="O266" s="186"/>
      <c r="P266" s="183"/>
      <c r="Q266" s="186"/>
      <c r="R266" s="187"/>
      <c r="S266" s="184"/>
    </row>
    <row r="267" spans="14:19" ht="15.75" customHeight="1">
      <c r="N267" s="182"/>
      <c r="O267" s="163"/>
      <c r="P267" s="183"/>
      <c r="Q267" s="163"/>
      <c r="R267" s="176"/>
      <c r="S267" s="184"/>
    </row>
    <row r="268" spans="14:19" ht="15.75" customHeight="1">
      <c r="N268" s="182"/>
      <c r="O268" s="181"/>
      <c r="P268" s="183"/>
      <c r="Q268" s="181"/>
      <c r="R268" s="185"/>
      <c r="S268" s="184"/>
    </row>
    <row r="269" spans="14:19" ht="15.75" customHeight="1">
      <c r="N269" s="182"/>
      <c r="O269" s="186"/>
      <c r="P269" s="183"/>
      <c r="Q269" s="186"/>
      <c r="R269" s="187"/>
      <c r="S269" s="184"/>
    </row>
    <row r="270" spans="14:19" ht="15.75" customHeight="1">
      <c r="N270" s="182"/>
      <c r="O270" s="163"/>
      <c r="P270" s="183"/>
      <c r="Q270" s="163"/>
      <c r="R270" s="176"/>
      <c r="S270" s="184"/>
    </row>
    <row r="271" spans="14:19" ht="15.75" customHeight="1">
      <c r="N271" s="182"/>
      <c r="O271" s="181"/>
      <c r="P271" s="183"/>
      <c r="Q271" s="181"/>
      <c r="R271" s="185"/>
      <c r="S271" s="184"/>
    </row>
    <row r="272" spans="14:19" ht="15.75" customHeight="1">
      <c r="N272" s="182"/>
      <c r="O272" s="163"/>
      <c r="P272" s="183"/>
      <c r="Q272" s="163"/>
      <c r="R272" s="176"/>
      <c r="S272" s="184"/>
    </row>
    <row r="273" spans="14:19" ht="15.75" customHeight="1">
      <c r="N273" s="182"/>
      <c r="O273" s="186"/>
      <c r="P273" s="183"/>
      <c r="Q273" s="186"/>
      <c r="R273" s="187"/>
      <c r="S273" s="184"/>
    </row>
    <row r="274" spans="14:19" ht="15.75" customHeight="1">
      <c r="N274" s="182"/>
      <c r="O274" s="163"/>
      <c r="P274" s="183"/>
      <c r="Q274" s="163"/>
      <c r="R274" s="176"/>
      <c r="S274" s="184"/>
    </row>
    <row r="275" spans="14:19" ht="15.75" customHeight="1">
      <c r="N275" s="182"/>
      <c r="O275" s="186"/>
      <c r="P275" s="183"/>
      <c r="Q275" s="186"/>
      <c r="R275" s="187"/>
      <c r="S275" s="184"/>
    </row>
    <row r="276" spans="14:19" ht="15.75" customHeight="1">
      <c r="N276" s="182"/>
      <c r="O276" s="186"/>
      <c r="P276" s="183"/>
      <c r="Q276" s="186"/>
      <c r="R276" s="187"/>
      <c r="S276" s="184"/>
    </row>
    <row r="277" spans="14:19" ht="15.75" customHeight="1">
      <c r="N277" s="182"/>
      <c r="O277" s="163"/>
      <c r="P277" s="183"/>
      <c r="Q277" s="163"/>
      <c r="R277" s="176"/>
      <c r="S277" s="184"/>
    </row>
    <row r="278" spans="14:19" ht="15.75" customHeight="1">
      <c r="N278" s="182"/>
      <c r="O278" s="181"/>
      <c r="P278" s="183"/>
      <c r="Q278" s="181"/>
      <c r="R278" s="185"/>
      <c r="S278" s="184"/>
    </row>
    <row r="279" spans="14:19" ht="15.75" customHeight="1">
      <c r="N279" s="182"/>
      <c r="O279" s="163"/>
      <c r="P279" s="183"/>
      <c r="Q279" s="163"/>
      <c r="R279" s="176"/>
      <c r="S279" s="184"/>
    </row>
    <row r="280" spans="14:19" ht="15.75" customHeight="1">
      <c r="N280" s="182"/>
      <c r="O280" s="186"/>
      <c r="P280" s="183"/>
      <c r="Q280" s="186"/>
      <c r="R280" s="187"/>
      <c r="S280" s="184"/>
    </row>
    <row r="281" spans="14:19" ht="15.75" customHeight="1">
      <c r="N281" s="182"/>
      <c r="O281" s="163"/>
      <c r="P281" s="183"/>
      <c r="Q281" s="163"/>
      <c r="R281" s="176"/>
      <c r="S281" s="184"/>
    </row>
    <row r="282" spans="14:19" ht="15.75" customHeight="1">
      <c r="N282" s="182"/>
      <c r="O282" s="186"/>
      <c r="P282" s="183"/>
      <c r="Q282" s="186"/>
      <c r="R282" s="187"/>
      <c r="S282" s="184"/>
    </row>
    <row r="283" spans="14:19" ht="15.75" customHeight="1">
      <c r="N283" s="182"/>
      <c r="O283" s="163"/>
      <c r="P283" s="183"/>
      <c r="Q283" s="163"/>
      <c r="R283" s="176"/>
      <c r="S283" s="184"/>
    </row>
    <row r="284" spans="14:19" ht="15.75" customHeight="1">
      <c r="N284" s="182"/>
      <c r="O284" s="181"/>
      <c r="P284" s="183"/>
      <c r="Q284" s="181"/>
      <c r="R284" s="185"/>
      <c r="S284" s="184"/>
    </row>
    <row r="285" spans="14:19" ht="15.75" customHeight="1">
      <c r="N285" s="182"/>
      <c r="O285" s="163"/>
      <c r="P285" s="183"/>
      <c r="Q285" s="163"/>
      <c r="R285" s="176"/>
      <c r="S285" s="184"/>
    </row>
    <row r="286" spans="14:19" ht="15.75" customHeight="1">
      <c r="N286" s="182"/>
      <c r="O286" s="186"/>
      <c r="P286" s="183"/>
      <c r="Q286" s="186"/>
      <c r="R286" s="187"/>
      <c r="S286" s="184"/>
    </row>
    <row r="287" spans="14:19" ht="15.75" customHeight="1">
      <c r="N287" s="182"/>
      <c r="O287" s="163"/>
      <c r="P287" s="183"/>
      <c r="Q287" s="163"/>
      <c r="R287" s="176"/>
      <c r="S287" s="184"/>
    </row>
    <row r="288" spans="14:19" ht="15.75" customHeight="1">
      <c r="N288" s="182"/>
      <c r="O288" s="186"/>
      <c r="P288" s="183"/>
      <c r="Q288" s="186"/>
      <c r="R288" s="187"/>
      <c r="S288" s="184"/>
    </row>
    <row r="289" spans="14:19" ht="15.75" customHeight="1">
      <c r="N289" s="182"/>
      <c r="O289" s="163"/>
      <c r="P289" s="183"/>
      <c r="Q289" s="163"/>
      <c r="R289" s="176"/>
      <c r="S289" s="184"/>
    </row>
    <row r="290" spans="14:19" ht="15.75" customHeight="1">
      <c r="N290" s="182"/>
      <c r="O290" s="186"/>
      <c r="P290" s="183"/>
      <c r="Q290" s="186"/>
      <c r="R290" s="187"/>
      <c r="S290" s="184"/>
    </row>
    <row r="291" spans="14:19" ht="15.75" customHeight="1">
      <c r="N291" s="182"/>
      <c r="O291" s="163"/>
      <c r="P291" s="183"/>
      <c r="Q291" s="163"/>
      <c r="R291" s="176"/>
      <c r="S291" s="184"/>
    </row>
    <row r="292" spans="14:19" ht="15.75" customHeight="1">
      <c r="N292" s="182"/>
      <c r="O292" s="181"/>
      <c r="P292" s="183"/>
      <c r="Q292" s="181"/>
      <c r="R292" s="185"/>
      <c r="S292" s="184"/>
    </row>
    <row r="293" spans="14:19" ht="15.75" customHeight="1">
      <c r="N293" s="182"/>
      <c r="O293" s="163"/>
      <c r="P293" s="183"/>
      <c r="Q293" s="163"/>
      <c r="R293" s="176"/>
      <c r="S293" s="184"/>
    </row>
    <row r="294" spans="14:19" ht="15.75" customHeight="1">
      <c r="N294" s="182"/>
      <c r="O294" s="186"/>
      <c r="P294" s="183"/>
      <c r="Q294" s="186"/>
      <c r="R294" s="187"/>
      <c r="S294" s="184"/>
    </row>
    <row r="295" spans="14:19" ht="15.75" customHeight="1">
      <c r="N295" s="182"/>
      <c r="O295" s="163"/>
      <c r="P295" s="183"/>
      <c r="Q295" s="163"/>
      <c r="R295" s="176"/>
      <c r="S295" s="184"/>
    </row>
    <row r="296" spans="14:19" ht="15.75" customHeight="1">
      <c r="N296" s="182"/>
      <c r="O296" s="186"/>
      <c r="P296" s="183"/>
      <c r="Q296" s="186"/>
      <c r="R296" s="187"/>
      <c r="S296" s="184"/>
    </row>
    <row r="297" spans="14:19" ht="15.75" customHeight="1">
      <c r="N297" s="182"/>
      <c r="O297" s="163"/>
      <c r="P297" s="183"/>
      <c r="Q297" s="163"/>
      <c r="R297" s="176"/>
      <c r="S297" s="184"/>
    </row>
    <row r="298" spans="14:19" ht="15.75" customHeight="1">
      <c r="N298" s="182"/>
      <c r="O298" s="181"/>
      <c r="P298" s="183"/>
      <c r="Q298" s="181"/>
      <c r="R298" s="185"/>
      <c r="S298" s="184"/>
    </row>
    <row r="299" spans="14:19" ht="15.75" customHeight="1">
      <c r="N299" s="182"/>
      <c r="O299" s="163"/>
      <c r="P299" s="183"/>
      <c r="Q299" s="163"/>
      <c r="R299" s="176"/>
      <c r="S299" s="184"/>
    </row>
    <row r="300" spans="14:19" ht="15.75" customHeight="1">
      <c r="N300" s="182"/>
      <c r="O300" s="186"/>
      <c r="P300" s="183"/>
      <c r="Q300" s="186"/>
      <c r="R300" s="187"/>
      <c r="S300" s="184"/>
    </row>
    <row r="301" spans="14:19" ht="15.75" customHeight="1">
      <c r="N301" s="182"/>
      <c r="O301" s="163"/>
      <c r="P301" s="183"/>
      <c r="Q301" s="163"/>
      <c r="R301" s="176"/>
      <c r="S301" s="184"/>
    </row>
    <row r="302" spans="14:19" ht="15.75" customHeight="1">
      <c r="N302" s="182"/>
      <c r="O302" s="186"/>
      <c r="P302" s="183"/>
      <c r="Q302" s="186"/>
      <c r="R302" s="187"/>
      <c r="S302" s="184"/>
    </row>
    <row r="303" spans="14:19" ht="15.75" customHeight="1">
      <c r="N303" s="182"/>
      <c r="O303" s="163"/>
      <c r="P303" s="183"/>
      <c r="Q303" s="163"/>
      <c r="R303" s="176"/>
      <c r="S303" s="184"/>
    </row>
    <row r="304" spans="14:19" ht="15.75" customHeight="1">
      <c r="N304" s="182"/>
      <c r="O304" s="181"/>
      <c r="P304" s="183"/>
      <c r="Q304" s="181"/>
      <c r="R304" s="185"/>
      <c r="S304" s="184"/>
    </row>
    <row r="305" spans="14:19" ht="15.75" customHeight="1">
      <c r="N305" s="182"/>
      <c r="O305" s="163"/>
      <c r="P305" s="183"/>
      <c r="Q305" s="163"/>
      <c r="R305" s="176"/>
      <c r="S305" s="184"/>
    </row>
    <row r="306" spans="14:19" ht="15.75" customHeight="1">
      <c r="N306" s="182"/>
      <c r="O306" s="186"/>
      <c r="P306" s="183"/>
      <c r="Q306" s="186"/>
      <c r="R306" s="187"/>
      <c r="S306" s="184"/>
    </row>
    <row r="307" spans="14:19" ht="15.75" customHeight="1">
      <c r="N307" s="182"/>
      <c r="O307" s="163"/>
      <c r="P307" s="183"/>
      <c r="Q307" s="163"/>
      <c r="R307" s="176"/>
      <c r="S307" s="184"/>
    </row>
    <row r="308" spans="14:19" ht="15.75" customHeight="1">
      <c r="N308" s="182"/>
      <c r="O308" s="186"/>
      <c r="P308" s="183"/>
      <c r="Q308" s="186"/>
      <c r="R308" s="187"/>
      <c r="S308" s="184"/>
    </row>
    <row r="309" spans="14:19" ht="15.75" customHeight="1">
      <c r="N309" s="182"/>
      <c r="O309" s="163"/>
      <c r="P309" s="183"/>
      <c r="Q309" s="163"/>
      <c r="R309" s="176"/>
      <c r="S309" s="184"/>
    </row>
    <row r="310" spans="14:19" ht="15.75" customHeight="1">
      <c r="N310" s="182"/>
      <c r="O310" s="181"/>
      <c r="P310" s="183"/>
      <c r="Q310" s="181"/>
      <c r="R310" s="185"/>
      <c r="S310" s="184"/>
    </row>
    <row r="311" spans="14:19" ht="15.75" customHeight="1">
      <c r="N311" s="182"/>
      <c r="O311" s="186"/>
      <c r="P311" s="183"/>
      <c r="Q311" s="186"/>
      <c r="R311" s="187"/>
      <c r="S311" s="184"/>
    </row>
    <row r="312" spans="14:19" ht="15.75" customHeight="1">
      <c r="N312" s="182"/>
      <c r="O312" s="163"/>
      <c r="P312" s="183"/>
      <c r="Q312" s="163"/>
      <c r="R312" s="176"/>
      <c r="S312" s="184"/>
    </row>
    <row r="313" spans="14:19" ht="15.75" customHeight="1">
      <c r="N313" s="182"/>
      <c r="O313" s="181"/>
      <c r="P313" s="183"/>
      <c r="Q313" s="181"/>
      <c r="R313" s="185"/>
      <c r="S313" s="184"/>
    </row>
    <row r="314" spans="14:19" ht="15.75" customHeight="1">
      <c r="N314" s="182"/>
      <c r="O314" s="163"/>
      <c r="P314" s="183"/>
      <c r="Q314" s="163"/>
      <c r="R314" s="176"/>
      <c r="S314" s="184"/>
    </row>
    <row r="315" spans="14:19" ht="15.75" customHeight="1">
      <c r="N315" s="182"/>
      <c r="O315" s="186"/>
      <c r="P315" s="183"/>
      <c r="Q315" s="186"/>
      <c r="R315" s="187"/>
      <c r="S315" s="184"/>
    </row>
    <row r="316" spans="14:19" ht="15.75" customHeight="1">
      <c r="N316" s="182"/>
      <c r="O316" s="163"/>
      <c r="P316" s="183"/>
      <c r="Q316" s="163"/>
      <c r="R316" s="176"/>
      <c r="S316" s="184"/>
    </row>
    <row r="317" spans="14:19" ht="15.75" customHeight="1">
      <c r="N317" s="182"/>
      <c r="O317" s="186"/>
      <c r="P317" s="183"/>
      <c r="Q317" s="186"/>
      <c r="R317" s="187"/>
      <c r="S317" s="184"/>
    </row>
    <row r="318" spans="14:19" ht="15.75" customHeight="1">
      <c r="N318" s="182"/>
      <c r="O318" s="186"/>
      <c r="P318" s="183"/>
      <c r="Q318" s="186"/>
      <c r="R318" s="187"/>
      <c r="S318" s="184"/>
    </row>
    <row r="319" spans="14:19" ht="15.75" customHeight="1">
      <c r="N319" s="182"/>
      <c r="O319" s="163"/>
      <c r="P319" s="183"/>
      <c r="Q319" s="163"/>
      <c r="R319" s="176"/>
      <c r="S319" s="184"/>
    </row>
    <row r="320" spans="14:19" ht="15.75" customHeight="1">
      <c r="N320" s="182"/>
      <c r="O320" s="181"/>
      <c r="P320" s="183"/>
      <c r="Q320" s="181"/>
      <c r="R320" s="185"/>
      <c r="S320" s="184"/>
    </row>
    <row r="321" spans="14:19" ht="15.75" customHeight="1">
      <c r="N321" s="182"/>
      <c r="O321" s="163"/>
      <c r="P321" s="183"/>
      <c r="Q321" s="163"/>
      <c r="R321" s="176"/>
      <c r="S321" s="184"/>
    </row>
    <row r="322" spans="14:19" ht="15.75" customHeight="1">
      <c r="N322" s="182"/>
      <c r="O322" s="186"/>
      <c r="P322" s="183"/>
      <c r="Q322" s="186"/>
      <c r="R322" s="187"/>
      <c r="S322" s="184"/>
    </row>
    <row r="323" spans="14:19" ht="15.75" customHeight="1">
      <c r="N323" s="182"/>
      <c r="O323" s="163"/>
      <c r="P323" s="183"/>
      <c r="Q323" s="163"/>
      <c r="R323" s="176"/>
      <c r="S323" s="184"/>
    </row>
    <row r="324" spans="14:19" ht="15.75" customHeight="1">
      <c r="N324" s="182"/>
      <c r="O324" s="181"/>
      <c r="P324" s="183"/>
      <c r="Q324" s="181"/>
      <c r="R324" s="185"/>
      <c r="S324" s="184"/>
    </row>
    <row r="325" spans="14:19" ht="15.75" customHeight="1">
      <c r="N325" s="182"/>
      <c r="O325" s="163"/>
      <c r="P325" s="183"/>
      <c r="Q325" s="163"/>
      <c r="R325" s="176"/>
      <c r="S325" s="184"/>
    </row>
    <row r="326" spans="14:19" ht="15.75" customHeight="1">
      <c r="N326" s="182"/>
      <c r="O326" s="186"/>
      <c r="P326" s="183"/>
      <c r="Q326" s="186"/>
      <c r="R326" s="187"/>
      <c r="S326" s="184"/>
    </row>
    <row r="327" spans="14:19" ht="15.75" customHeight="1">
      <c r="N327" s="182"/>
      <c r="O327" s="163"/>
      <c r="P327" s="183"/>
      <c r="Q327" s="163"/>
      <c r="R327" s="176"/>
      <c r="S327" s="184"/>
    </row>
    <row r="328" spans="14:19" ht="15.75" customHeight="1">
      <c r="N328" s="182"/>
      <c r="O328" s="186"/>
      <c r="P328" s="183"/>
      <c r="Q328" s="186"/>
      <c r="R328" s="187"/>
      <c r="S328" s="184"/>
    </row>
    <row r="329" spans="14:19" ht="15.75" customHeight="1">
      <c r="N329" s="182"/>
      <c r="O329" s="186"/>
      <c r="P329" s="183"/>
      <c r="Q329" s="186"/>
      <c r="R329" s="187"/>
      <c r="S329" s="184"/>
    </row>
    <row r="330" spans="14:19" ht="15.75" customHeight="1">
      <c r="N330" s="182"/>
      <c r="O330" s="163"/>
      <c r="P330" s="183"/>
      <c r="Q330" s="163"/>
      <c r="R330" s="176"/>
      <c r="S330" s="184"/>
    </row>
    <row r="331" spans="14:19" ht="15.75" customHeight="1">
      <c r="N331" s="182"/>
      <c r="O331" s="181"/>
      <c r="P331" s="183"/>
      <c r="Q331" s="181"/>
      <c r="R331" s="185"/>
      <c r="S331" s="184"/>
    </row>
    <row r="332" spans="14:19" ht="15.75" customHeight="1">
      <c r="N332" s="182"/>
      <c r="O332" s="163"/>
      <c r="P332" s="183"/>
      <c r="Q332" s="163"/>
      <c r="R332" s="176"/>
      <c r="S332" s="184"/>
    </row>
    <row r="333" spans="14:19" ht="15.75" customHeight="1">
      <c r="N333" s="182"/>
      <c r="O333" s="186"/>
      <c r="P333" s="183"/>
      <c r="Q333" s="186"/>
      <c r="R333" s="187"/>
      <c r="S333" s="184"/>
    </row>
    <row r="334" spans="14:19" ht="15.75" customHeight="1">
      <c r="N334" s="182"/>
      <c r="O334" s="163"/>
      <c r="P334" s="183"/>
      <c r="Q334" s="163"/>
      <c r="R334" s="176"/>
      <c r="S334" s="184"/>
    </row>
    <row r="335" spans="14:19" ht="15.75" customHeight="1">
      <c r="N335" s="182"/>
      <c r="O335" s="186"/>
      <c r="P335" s="183"/>
      <c r="Q335" s="186"/>
      <c r="R335" s="187"/>
      <c r="S335" s="184"/>
    </row>
    <row r="336" spans="14:19" ht="15.75" customHeight="1">
      <c r="N336" s="182"/>
      <c r="O336" s="163"/>
      <c r="P336" s="183"/>
      <c r="Q336" s="163"/>
      <c r="R336" s="176"/>
      <c r="S336" s="184"/>
    </row>
    <row r="337" spans="14:19" ht="15.75" customHeight="1">
      <c r="N337" s="182"/>
      <c r="O337" s="181"/>
      <c r="P337" s="183"/>
      <c r="Q337" s="181"/>
      <c r="R337" s="185"/>
      <c r="S337" s="184"/>
    </row>
    <row r="338" spans="14:19" ht="15.75" customHeight="1">
      <c r="N338" s="182"/>
      <c r="O338" s="163"/>
      <c r="P338" s="183"/>
      <c r="Q338" s="163"/>
      <c r="R338" s="176"/>
      <c r="S338" s="184"/>
    </row>
    <row r="339" spans="14:19" ht="15.75" customHeight="1">
      <c r="N339" s="182"/>
      <c r="O339" s="186"/>
      <c r="P339" s="183"/>
      <c r="Q339" s="186"/>
      <c r="R339" s="187"/>
      <c r="S339" s="184"/>
    </row>
    <row r="340" spans="14:19" ht="15.75" customHeight="1">
      <c r="N340" s="182"/>
      <c r="O340" s="163"/>
      <c r="P340" s="183"/>
      <c r="Q340" s="163"/>
      <c r="R340" s="176"/>
      <c r="S340" s="184"/>
    </row>
    <row r="341" spans="14:19" ht="15.75" customHeight="1">
      <c r="N341" s="182"/>
      <c r="O341" s="186"/>
      <c r="P341" s="183"/>
      <c r="Q341" s="186"/>
      <c r="R341" s="187"/>
      <c r="S341" s="184"/>
    </row>
    <row r="342" spans="14:19" ht="15.75" customHeight="1">
      <c r="N342" s="182"/>
      <c r="O342" s="163"/>
      <c r="P342" s="183"/>
      <c r="Q342" s="163"/>
      <c r="R342" s="176"/>
      <c r="S342" s="184"/>
    </row>
    <row r="343" spans="14:19" ht="15.75" customHeight="1">
      <c r="N343" s="182"/>
      <c r="O343" s="186"/>
      <c r="P343" s="183"/>
      <c r="Q343" s="186"/>
      <c r="R343" s="187"/>
      <c r="S343" s="184"/>
    </row>
    <row r="344" spans="14:19" ht="15.75" customHeight="1">
      <c r="N344" s="182"/>
      <c r="O344" s="163"/>
      <c r="P344" s="183"/>
      <c r="Q344" s="163"/>
      <c r="R344" s="176"/>
      <c r="S344" s="184"/>
    </row>
    <row r="345" spans="14:19" ht="15.75" customHeight="1">
      <c r="N345" s="182"/>
      <c r="O345" s="181"/>
      <c r="P345" s="183"/>
      <c r="Q345" s="181"/>
      <c r="R345" s="185"/>
      <c r="S345" s="184"/>
    </row>
    <row r="346" spans="14:19" ht="15.75" customHeight="1">
      <c r="N346" s="182"/>
      <c r="O346" s="163"/>
      <c r="P346" s="183"/>
      <c r="Q346" s="163"/>
      <c r="R346" s="176"/>
      <c r="S346" s="184"/>
    </row>
    <row r="347" spans="14:19" ht="15.75" customHeight="1">
      <c r="N347" s="182"/>
      <c r="O347" s="186"/>
      <c r="P347" s="183"/>
      <c r="Q347" s="186"/>
      <c r="R347" s="187"/>
      <c r="S347" s="184"/>
    </row>
    <row r="348" spans="14:19" ht="15.75" customHeight="1">
      <c r="N348" s="182"/>
      <c r="O348" s="163"/>
      <c r="P348" s="183"/>
      <c r="Q348" s="163"/>
      <c r="R348" s="176"/>
      <c r="S348" s="184"/>
    </row>
    <row r="349" spans="14:19" ht="15.75" customHeight="1">
      <c r="N349" s="182"/>
      <c r="O349" s="186"/>
      <c r="P349" s="183"/>
      <c r="Q349" s="186"/>
      <c r="R349" s="187"/>
      <c r="S349" s="184"/>
    </row>
    <row r="350" spans="14:19" ht="15.75" customHeight="1">
      <c r="N350" s="182"/>
      <c r="O350" s="163"/>
      <c r="P350" s="183"/>
      <c r="Q350" s="163"/>
      <c r="R350" s="176"/>
      <c r="S350" s="184"/>
    </row>
    <row r="351" spans="14:19" ht="15.75" customHeight="1">
      <c r="N351" s="182"/>
      <c r="O351" s="181"/>
      <c r="P351" s="183"/>
      <c r="Q351" s="181"/>
      <c r="R351" s="185"/>
      <c r="S351" s="184"/>
    </row>
    <row r="352" spans="14:19" ht="15.75" customHeight="1">
      <c r="N352" s="182"/>
      <c r="O352" s="163"/>
      <c r="P352" s="183"/>
      <c r="Q352" s="163"/>
      <c r="R352" s="176"/>
      <c r="S352" s="184"/>
    </row>
    <row r="353" spans="14:19" ht="15.75" customHeight="1">
      <c r="N353" s="182"/>
      <c r="O353" s="186"/>
      <c r="P353" s="183"/>
      <c r="Q353" s="186"/>
      <c r="R353" s="187"/>
      <c r="S353" s="184"/>
    </row>
    <row r="354" spans="14:19" ht="15.75" customHeight="1">
      <c r="N354" s="182"/>
      <c r="O354" s="163"/>
      <c r="P354" s="183"/>
      <c r="Q354" s="163"/>
      <c r="R354" s="176"/>
      <c r="S354" s="184"/>
    </row>
    <row r="355" spans="14:19" ht="15.75" customHeight="1">
      <c r="N355" s="182"/>
      <c r="O355" s="186"/>
      <c r="P355" s="183"/>
      <c r="Q355" s="186"/>
      <c r="R355" s="187"/>
      <c r="S355" s="184"/>
    </row>
    <row r="356" spans="14:19" ht="15.75" customHeight="1">
      <c r="N356" s="182"/>
      <c r="O356" s="163"/>
      <c r="P356" s="183"/>
      <c r="Q356" s="163"/>
      <c r="R356" s="176"/>
      <c r="S356" s="184"/>
    </row>
    <row r="357" spans="14:19" ht="15.75" customHeight="1">
      <c r="N357" s="182"/>
      <c r="O357" s="181"/>
      <c r="P357" s="183"/>
      <c r="Q357" s="181"/>
      <c r="R357" s="185"/>
      <c r="S357" s="184"/>
    </row>
    <row r="358" spans="14:19" ht="15.75" customHeight="1">
      <c r="N358" s="182"/>
      <c r="O358" s="163"/>
      <c r="P358" s="183"/>
      <c r="Q358" s="163"/>
      <c r="R358" s="176"/>
      <c r="S358" s="184"/>
    </row>
    <row r="359" spans="14:19" ht="15.75" customHeight="1">
      <c r="N359" s="182"/>
      <c r="O359" s="186"/>
      <c r="P359" s="183"/>
      <c r="Q359" s="186"/>
      <c r="R359" s="187"/>
      <c r="S359" s="184"/>
    </row>
    <row r="360" spans="14:19" ht="15.75" customHeight="1">
      <c r="N360" s="182"/>
      <c r="O360" s="163"/>
      <c r="P360" s="183"/>
      <c r="Q360" s="163"/>
      <c r="R360" s="176"/>
      <c r="S360" s="184"/>
    </row>
    <row r="361" spans="14:19" ht="15.75" customHeight="1">
      <c r="N361" s="182"/>
      <c r="O361" s="186"/>
      <c r="P361" s="183"/>
      <c r="Q361" s="186"/>
      <c r="R361" s="187"/>
      <c r="S361" s="184"/>
    </row>
    <row r="362" spans="14:19" ht="15.75" customHeight="1">
      <c r="N362" s="182"/>
      <c r="O362" s="163"/>
      <c r="P362" s="183"/>
      <c r="Q362" s="163"/>
      <c r="R362" s="176"/>
      <c r="S362" s="184"/>
    </row>
    <row r="363" spans="14:19" ht="15.75" customHeight="1">
      <c r="N363" s="182"/>
      <c r="O363" s="181"/>
      <c r="P363" s="183"/>
      <c r="Q363" s="181"/>
      <c r="R363" s="185"/>
      <c r="S363" s="184"/>
    </row>
    <row r="364" spans="14:19" ht="15.75" customHeight="1">
      <c r="N364" s="182"/>
      <c r="O364" s="186"/>
      <c r="P364" s="183"/>
      <c r="Q364" s="186"/>
      <c r="R364" s="187"/>
      <c r="S364" s="184"/>
    </row>
    <row r="365" spans="14:19" ht="15.75" customHeight="1">
      <c r="N365" s="182"/>
      <c r="O365" s="163"/>
      <c r="P365" s="183"/>
      <c r="Q365" s="163"/>
      <c r="R365" s="176"/>
      <c r="S365" s="184"/>
    </row>
    <row r="366" spans="14:19" ht="15.75" customHeight="1">
      <c r="N366" s="182"/>
      <c r="O366" s="181"/>
      <c r="P366" s="183"/>
      <c r="Q366" s="181"/>
      <c r="R366" s="185"/>
      <c r="S366" s="184"/>
    </row>
    <row r="367" spans="14:19" ht="15.75" customHeight="1">
      <c r="N367" s="182"/>
      <c r="O367" s="163"/>
      <c r="P367" s="183"/>
      <c r="Q367" s="163"/>
      <c r="R367" s="176"/>
      <c r="S367" s="184"/>
    </row>
    <row r="368" spans="14:19" ht="15.75" customHeight="1">
      <c r="N368" s="182"/>
      <c r="O368" s="186"/>
      <c r="P368" s="183"/>
      <c r="Q368" s="186"/>
      <c r="R368" s="187"/>
      <c r="S368" s="184"/>
    </row>
    <row r="369" spans="14:19" ht="15.75" customHeight="1">
      <c r="N369" s="182"/>
      <c r="O369" s="163"/>
      <c r="P369" s="183"/>
      <c r="Q369" s="163"/>
      <c r="R369" s="176"/>
      <c r="S369" s="184"/>
    </row>
    <row r="370" spans="14:19" ht="15.75" customHeight="1">
      <c r="N370" s="182"/>
      <c r="O370" s="186"/>
      <c r="P370" s="183"/>
      <c r="Q370" s="186"/>
      <c r="R370" s="187"/>
      <c r="S370" s="184"/>
    </row>
    <row r="371" spans="14:19" ht="15.75" customHeight="1">
      <c r="N371" s="182"/>
      <c r="O371" s="186"/>
      <c r="P371" s="183"/>
      <c r="Q371" s="186"/>
      <c r="R371" s="187"/>
      <c r="S371" s="184"/>
    </row>
    <row r="372" spans="14:19" ht="15.75" customHeight="1">
      <c r="N372" s="182"/>
      <c r="O372" s="163"/>
      <c r="P372" s="183"/>
      <c r="Q372" s="163"/>
      <c r="R372" s="176"/>
      <c r="S372" s="184"/>
    </row>
    <row r="373" spans="14:19" ht="15.75" customHeight="1">
      <c r="N373" s="182"/>
      <c r="O373" s="181"/>
      <c r="P373" s="183"/>
      <c r="Q373" s="181"/>
      <c r="R373" s="185"/>
      <c r="S373" s="184"/>
    </row>
    <row r="374" spans="14:19" ht="15.75" customHeight="1">
      <c r="N374" s="182"/>
      <c r="O374" s="163"/>
      <c r="P374" s="183"/>
      <c r="Q374" s="163"/>
      <c r="R374" s="176"/>
      <c r="S374" s="184"/>
    </row>
    <row r="375" spans="14:19" ht="15.75" customHeight="1">
      <c r="N375" s="182"/>
      <c r="O375" s="186"/>
      <c r="P375" s="183"/>
      <c r="Q375" s="186"/>
      <c r="R375" s="187"/>
      <c r="S375" s="184"/>
    </row>
    <row r="376" spans="14:19" ht="15.75" customHeight="1">
      <c r="N376" s="182"/>
      <c r="O376" s="163"/>
      <c r="P376" s="183"/>
      <c r="Q376" s="163"/>
      <c r="R376" s="176"/>
      <c r="S376" s="184"/>
    </row>
    <row r="377" spans="14:19" ht="15.75" customHeight="1">
      <c r="N377" s="182"/>
      <c r="O377" s="186"/>
      <c r="P377" s="183"/>
      <c r="Q377" s="186"/>
      <c r="R377" s="187"/>
      <c r="S377" s="184"/>
    </row>
    <row r="378" spans="14:19" ht="15.75" customHeight="1">
      <c r="N378" s="182"/>
      <c r="O378" s="163"/>
      <c r="P378" s="183"/>
      <c r="Q378" s="163"/>
      <c r="R378" s="176"/>
      <c r="S378" s="184"/>
    </row>
    <row r="379" spans="14:19" ht="15.75" customHeight="1">
      <c r="N379" s="182"/>
      <c r="O379" s="181"/>
      <c r="P379" s="183"/>
      <c r="Q379" s="181"/>
      <c r="R379" s="185"/>
      <c r="S379" s="184"/>
    </row>
    <row r="380" spans="14:19" ht="15.75" customHeight="1">
      <c r="N380" s="182"/>
      <c r="O380" s="163"/>
      <c r="P380" s="183"/>
      <c r="Q380" s="163"/>
      <c r="R380" s="176"/>
      <c r="S380" s="184"/>
    </row>
    <row r="381" spans="14:19" ht="15.75" customHeight="1">
      <c r="N381" s="182"/>
      <c r="O381" s="186"/>
      <c r="P381" s="183"/>
      <c r="Q381" s="186"/>
      <c r="R381" s="187"/>
      <c r="S381" s="184"/>
    </row>
    <row r="382" spans="14:19" ht="15.75" customHeight="1">
      <c r="N382" s="182"/>
      <c r="O382" s="163"/>
      <c r="P382" s="183"/>
      <c r="Q382" s="163"/>
      <c r="R382" s="176"/>
      <c r="S382" s="184"/>
    </row>
    <row r="383" spans="14:19" ht="15.75" customHeight="1">
      <c r="N383" s="182"/>
      <c r="O383" s="186"/>
      <c r="P383" s="183"/>
      <c r="Q383" s="186"/>
      <c r="R383" s="187"/>
      <c r="S383" s="184"/>
    </row>
    <row r="384" spans="14:19" ht="15.75" customHeight="1">
      <c r="N384" s="182"/>
      <c r="O384" s="163"/>
      <c r="P384" s="183"/>
      <c r="Q384" s="163"/>
      <c r="R384" s="176"/>
      <c r="S384" s="184"/>
    </row>
    <row r="385" spans="14:19" ht="15.75" customHeight="1">
      <c r="N385" s="182"/>
      <c r="O385" s="186"/>
      <c r="P385" s="183"/>
      <c r="Q385" s="186"/>
      <c r="R385" s="187"/>
      <c r="S385" s="184"/>
    </row>
    <row r="386" spans="14:19" ht="15.75" customHeight="1">
      <c r="N386" s="182"/>
      <c r="O386" s="163"/>
      <c r="P386" s="183"/>
      <c r="Q386" s="163"/>
      <c r="R386" s="176"/>
      <c r="S386" s="184"/>
    </row>
    <row r="387" spans="14:19" ht="15.75" customHeight="1">
      <c r="N387" s="182"/>
      <c r="O387" s="181"/>
      <c r="P387" s="183"/>
      <c r="Q387" s="181"/>
      <c r="R387" s="185"/>
      <c r="S387" s="184"/>
    </row>
    <row r="388" spans="14:19" ht="15.75" customHeight="1">
      <c r="N388" s="182"/>
      <c r="O388" s="163"/>
      <c r="P388" s="183"/>
      <c r="Q388" s="163"/>
      <c r="R388" s="176"/>
      <c r="S388" s="184"/>
    </row>
    <row r="389" spans="14:19" ht="15.75" customHeight="1">
      <c r="N389" s="182"/>
      <c r="O389" s="186"/>
      <c r="P389" s="183"/>
      <c r="Q389" s="186"/>
      <c r="R389" s="187"/>
      <c r="S389" s="184"/>
    </row>
    <row r="390" spans="14:19" ht="15.75" customHeight="1">
      <c r="N390" s="182"/>
      <c r="O390" s="163"/>
      <c r="P390" s="183"/>
      <c r="Q390" s="163"/>
      <c r="R390" s="176"/>
      <c r="S390" s="184"/>
    </row>
    <row r="391" spans="14:19" ht="15.75" customHeight="1">
      <c r="N391" s="182"/>
      <c r="O391" s="186"/>
      <c r="P391" s="183"/>
      <c r="Q391" s="186"/>
      <c r="R391" s="187"/>
      <c r="S391" s="184"/>
    </row>
    <row r="392" spans="14:19" ht="15.75" customHeight="1">
      <c r="N392" s="182"/>
      <c r="O392" s="163"/>
      <c r="P392" s="183"/>
      <c r="Q392" s="163"/>
      <c r="R392" s="176"/>
      <c r="S392" s="184"/>
    </row>
    <row r="393" spans="14:19" ht="15.75" customHeight="1">
      <c r="N393" s="182"/>
      <c r="O393" s="181"/>
      <c r="P393" s="183"/>
      <c r="Q393" s="181"/>
      <c r="R393" s="185"/>
      <c r="S393" s="184"/>
    </row>
    <row r="394" spans="14:19" ht="15.75" customHeight="1">
      <c r="N394" s="182"/>
      <c r="O394" s="163"/>
      <c r="P394" s="183"/>
      <c r="Q394" s="163"/>
      <c r="R394" s="176"/>
      <c r="S394" s="184"/>
    </row>
    <row r="395" spans="14:19" ht="15.75" customHeight="1">
      <c r="N395" s="182"/>
      <c r="O395" s="186"/>
      <c r="P395" s="183"/>
      <c r="Q395" s="186"/>
      <c r="R395" s="187"/>
      <c r="S395" s="184"/>
    </row>
    <row r="396" spans="14:19" ht="15.75" customHeight="1">
      <c r="N396" s="182"/>
      <c r="O396" s="163"/>
      <c r="P396" s="183"/>
      <c r="Q396" s="163"/>
      <c r="R396" s="176"/>
      <c r="S396" s="184"/>
    </row>
    <row r="397" spans="14:19" ht="15.75" customHeight="1">
      <c r="N397" s="182"/>
      <c r="O397" s="186"/>
      <c r="P397" s="183"/>
      <c r="Q397" s="186"/>
      <c r="R397" s="187"/>
      <c r="S397" s="184"/>
    </row>
    <row r="398" spans="14:19" ht="15.75" customHeight="1">
      <c r="N398" s="182"/>
      <c r="O398" s="163"/>
      <c r="P398" s="183"/>
      <c r="Q398" s="163"/>
      <c r="R398" s="176"/>
      <c r="S398" s="184"/>
    </row>
    <row r="399" spans="14:19" ht="15.75" customHeight="1">
      <c r="N399" s="182"/>
      <c r="O399" s="181"/>
      <c r="P399" s="183"/>
      <c r="Q399" s="181"/>
      <c r="R399" s="185"/>
      <c r="S399" s="184"/>
    </row>
    <row r="400" spans="14:19" ht="15.75" customHeight="1">
      <c r="N400" s="182"/>
      <c r="O400" s="163"/>
      <c r="P400" s="183"/>
      <c r="Q400" s="163"/>
      <c r="R400" s="176"/>
      <c r="S400" s="184"/>
    </row>
    <row r="401" spans="14:19" ht="15.75" customHeight="1">
      <c r="N401" s="182"/>
      <c r="O401" s="186"/>
      <c r="P401" s="183"/>
      <c r="Q401" s="186"/>
      <c r="R401" s="187"/>
      <c r="S401" s="184"/>
    </row>
    <row r="402" spans="14:19" ht="15.75" customHeight="1">
      <c r="N402" s="182"/>
      <c r="O402" s="163"/>
      <c r="P402" s="183"/>
      <c r="Q402" s="163"/>
      <c r="R402" s="176"/>
      <c r="S402" s="184"/>
    </row>
    <row r="403" spans="14:19" ht="15.75" customHeight="1">
      <c r="N403" s="182"/>
      <c r="O403" s="186"/>
      <c r="P403" s="183"/>
      <c r="Q403" s="186"/>
      <c r="R403" s="187"/>
      <c r="S403" s="184"/>
    </row>
    <row r="404" spans="14:19" ht="15.75" customHeight="1">
      <c r="N404" s="182"/>
      <c r="O404" s="163"/>
      <c r="P404" s="183"/>
      <c r="Q404" s="163"/>
      <c r="R404" s="176"/>
      <c r="S404" s="184"/>
    </row>
    <row r="405" spans="14:19" ht="15.75" customHeight="1">
      <c r="N405" s="182"/>
      <c r="O405" s="181"/>
      <c r="P405" s="183"/>
      <c r="Q405" s="181"/>
      <c r="R405" s="185"/>
      <c r="S405" s="184"/>
    </row>
    <row r="406" spans="14:19" ht="15.75" customHeight="1">
      <c r="N406" s="182"/>
      <c r="O406" s="186"/>
      <c r="P406" s="183"/>
      <c r="Q406" s="186"/>
      <c r="R406" s="187"/>
      <c r="S406" s="184"/>
    </row>
    <row r="407" spans="14:19" ht="15.75" customHeight="1">
      <c r="N407" s="182"/>
      <c r="O407" s="163"/>
      <c r="P407" s="183"/>
      <c r="Q407" s="163"/>
      <c r="R407" s="176"/>
      <c r="S407" s="184"/>
    </row>
    <row r="408" spans="14:19" ht="15.75" customHeight="1">
      <c r="N408" s="182"/>
      <c r="O408" s="181"/>
      <c r="P408" s="183"/>
      <c r="Q408" s="181"/>
      <c r="R408" s="185"/>
      <c r="S408" s="184"/>
    </row>
    <row r="409" spans="14:19" ht="15.75" customHeight="1">
      <c r="N409" s="182"/>
      <c r="O409" s="163"/>
      <c r="P409" s="183"/>
      <c r="Q409" s="163"/>
      <c r="R409" s="176"/>
      <c r="S409" s="184"/>
    </row>
    <row r="410" spans="14:19" ht="15.75" customHeight="1">
      <c r="N410" s="182"/>
      <c r="O410" s="186"/>
      <c r="P410" s="183"/>
      <c r="Q410" s="186"/>
      <c r="R410" s="187"/>
      <c r="S410" s="184"/>
    </row>
    <row r="411" spans="14:19" ht="15.75" customHeight="1">
      <c r="N411" s="182"/>
      <c r="O411" s="163"/>
      <c r="P411" s="183"/>
      <c r="Q411" s="163"/>
      <c r="R411" s="176"/>
      <c r="S411" s="184"/>
    </row>
    <row r="412" spans="14:19" ht="15.75" customHeight="1">
      <c r="N412" s="182"/>
      <c r="O412" s="186"/>
      <c r="P412" s="183"/>
      <c r="Q412" s="186"/>
      <c r="R412" s="187"/>
      <c r="S412" s="184"/>
    </row>
    <row r="413" spans="14:19" ht="15.75" customHeight="1">
      <c r="N413" s="182"/>
      <c r="O413" s="186"/>
      <c r="P413" s="183"/>
      <c r="Q413" s="186"/>
      <c r="R413" s="187"/>
      <c r="S413" s="184"/>
    </row>
    <row r="414" spans="14:19" ht="15.75" customHeight="1">
      <c r="N414" s="182"/>
      <c r="O414" s="163"/>
      <c r="P414" s="183"/>
      <c r="Q414" s="163"/>
      <c r="R414" s="176"/>
      <c r="S414" s="184"/>
    </row>
    <row r="415" spans="14:19" ht="15.75" customHeight="1">
      <c r="N415" s="182"/>
      <c r="O415" s="181"/>
      <c r="P415" s="183"/>
      <c r="Q415" s="181"/>
      <c r="R415" s="185"/>
      <c r="S415" s="184"/>
    </row>
    <row r="416" spans="14:19" ht="15.75" customHeight="1">
      <c r="N416" s="182"/>
      <c r="O416" s="163"/>
      <c r="P416" s="183"/>
      <c r="Q416" s="163"/>
      <c r="R416" s="176"/>
      <c r="S416" s="184"/>
    </row>
    <row r="417" spans="14:19" ht="15.75" customHeight="1">
      <c r="N417" s="182"/>
      <c r="O417" s="186"/>
      <c r="P417" s="183"/>
      <c r="Q417" s="186"/>
      <c r="R417" s="187"/>
      <c r="S417" s="184"/>
    </row>
    <row r="418" spans="14:19" ht="15.75" customHeight="1">
      <c r="N418" s="182"/>
      <c r="O418" s="163"/>
      <c r="P418" s="183"/>
      <c r="Q418" s="163"/>
      <c r="R418" s="176"/>
      <c r="S418" s="184"/>
    </row>
    <row r="419" spans="14:19" ht="15.75" customHeight="1">
      <c r="N419" s="182"/>
      <c r="O419" s="186"/>
      <c r="P419" s="183"/>
      <c r="Q419" s="186"/>
      <c r="R419" s="187"/>
      <c r="S419" s="184"/>
    </row>
    <row r="420" spans="14:19" ht="15.75" customHeight="1">
      <c r="N420" s="182"/>
      <c r="O420" s="163"/>
      <c r="P420" s="183"/>
      <c r="Q420" s="163"/>
      <c r="R420" s="176"/>
      <c r="S420" s="184"/>
    </row>
    <row r="421" spans="14:19" ht="15.75" customHeight="1">
      <c r="N421" s="182"/>
      <c r="O421" s="181"/>
      <c r="P421" s="183"/>
      <c r="Q421" s="181"/>
      <c r="R421" s="185"/>
      <c r="S421" s="184"/>
    </row>
    <row r="422" spans="14:19" ht="15.75" customHeight="1">
      <c r="N422" s="182"/>
      <c r="O422" s="163"/>
      <c r="P422" s="183"/>
      <c r="Q422" s="163"/>
      <c r="R422" s="176"/>
      <c r="S422" s="184"/>
    </row>
    <row r="423" spans="14:19" ht="15.75" customHeight="1">
      <c r="N423" s="182"/>
      <c r="O423" s="186"/>
      <c r="P423" s="183"/>
      <c r="Q423" s="186"/>
      <c r="R423" s="187"/>
      <c r="S423" s="184"/>
    </row>
    <row r="424" spans="14:19" ht="15.75" customHeight="1">
      <c r="N424" s="182"/>
      <c r="O424" s="163"/>
      <c r="P424" s="183"/>
      <c r="Q424" s="163"/>
      <c r="R424" s="176"/>
      <c r="S424" s="184"/>
    </row>
    <row r="425" spans="14:19" ht="15.75" customHeight="1">
      <c r="N425" s="182"/>
      <c r="O425" s="186"/>
      <c r="P425" s="183"/>
      <c r="Q425" s="186"/>
      <c r="R425" s="187"/>
      <c r="S425" s="184"/>
    </row>
    <row r="426" spans="14:19" ht="15.75" customHeight="1">
      <c r="N426" s="182"/>
      <c r="O426" s="163"/>
      <c r="P426" s="183"/>
      <c r="Q426" s="163"/>
      <c r="R426" s="176"/>
      <c r="S426" s="184"/>
    </row>
    <row r="427" spans="14:19" ht="15.75" customHeight="1">
      <c r="N427" s="182"/>
      <c r="O427" s="186"/>
      <c r="P427" s="183"/>
      <c r="Q427" s="186"/>
      <c r="R427" s="187"/>
      <c r="S427" s="184"/>
    </row>
    <row r="428" spans="14:19" ht="15.75" customHeight="1">
      <c r="N428" s="182"/>
      <c r="O428" s="163"/>
      <c r="P428" s="183"/>
      <c r="Q428" s="163"/>
      <c r="R428" s="176"/>
      <c r="S428" s="184"/>
    </row>
    <row r="429" spans="14:19" ht="15.75" customHeight="1">
      <c r="N429" s="182"/>
      <c r="O429" s="181"/>
      <c r="P429" s="183"/>
      <c r="Q429" s="181"/>
      <c r="R429" s="185"/>
      <c r="S429" s="184"/>
    </row>
    <row r="430" spans="14:19" ht="15.75" customHeight="1">
      <c r="N430" s="182"/>
      <c r="O430" s="163"/>
      <c r="P430" s="183"/>
      <c r="Q430" s="163"/>
      <c r="R430" s="176"/>
      <c r="S430" s="184"/>
    </row>
    <row r="431" spans="14:19" ht="15.75" customHeight="1">
      <c r="N431" s="182"/>
      <c r="O431" s="186"/>
      <c r="P431" s="183"/>
      <c r="Q431" s="186"/>
      <c r="R431" s="187"/>
      <c r="S431" s="184"/>
    </row>
    <row r="432" spans="14:19" ht="15.75" customHeight="1">
      <c r="N432" s="182"/>
      <c r="O432" s="163"/>
      <c r="P432" s="183"/>
      <c r="Q432" s="163"/>
      <c r="R432" s="176"/>
      <c r="S432" s="184"/>
    </row>
    <row r="433" spans="14:19" ht="15.75" customHeight="1">
      <c r="N433" s="182"/>
      <c r="O433" s="186"/>
      <c r="P433" s="183"/>
      <c r="Q433" s="186"/>
      <c r="R433" s="187"/>
      <c r="S433" s="184"/>
    </row>
    <row r="434" spans="14:19" ht="15.75" customHeight="1">
      <c r="N434" s="182"/>
      <c r="O434" s="163"/>
      <c r="P434" s="183"/>
      <c r="Q434" s="163"/>
      <c r="R434" s="176"/>
      <c r="S434" s="184"/>
    </row>
    <row r="435" spans="14:19" ht="15.75" customHeight="1">
      <c r="N435" s="182"/>
      <c r="O435" s="181"/>
      <c r="P435" s="183"/>
      <c r="Q435" s="181"/>
      <c r="R435" s="185"/>
      <c r="S435" s="184"/>
    </row>
    <row r="436" spans="14:19" ht="15.75" customHeight="1">
      <c r="N436" s="182"/>
      <c r="O436" s="163"/>
      <c r="P436" s="183"/>
      <c r="Q436" s="163"/>
      <c r="R436" s="176"/>
      <c r="S436" s="184"/>
    </row>
    <row r="437" spans="14:19" ht="15.75" customHeight="1">
      <c r="N437" s="182"/>
      <c r="O437" s="186"/>
      <c r="P437" s="183"/>
      <c r="Q437" s="186"/>
      <c r="R437" s="187"/>
      <c r="S437" s="184"/>
    </row>
    <row r="438" spans="14:19" ht="15.75" customHeight="1">
      <c r="N438" s="182"/>
      <c r="O438" s="163"/>
      <c r="P438" s="183"/>
      <c r="Q438" s="163"/>
      <c r="R438" s="176"/>
      <c r="S438" s="184"/>
    </row>
    <row r="439" spans="14:19" ht="15.75" customHeight="1">
      <c r="N439" s="182"/>
      <c r="O439" s="186"/>
      <c r="P439" s="183"/>
      <c r="Q439" s="186"/>
      <c r="R439" s="187"/>
      <c r="S439" s="184"/>
    </row>
    <row r="440" spans="14:19" ht="15.75" customHeight="1">
      <c r="N440" s="182"/>
      <c r="O440" s="163"/>
      <c r="P440" s="183"/>
      <c r="Q440" s="163"/>
      <c r="R440" s="176"/>
      <c r="S440" s="184"/>
    </row>
    <row r="441" spans="14:19" ht="15.75" customHeight="1">
      <c r="N441" s="182"/>
      <c r="O441" s="181"/>
      <c r="P441" s="183"/>
      <c r="Q441" s="181"/>
      <c r="R441" s="185"/>
      <c r="S441" s="184"/>
    </row>
    <row r="442" spans="14:19" ht="15.75" customHeight="1">
      <c r="N442" s="182"/>
      <c r="O442" s="163"/>
      <c r="P442" s="183"/>
      <c r="Q442" s="163"/>
      <c r="R442" s="176"/>
      <c r="S442" s="184"/>
    </row>
    <row r="443" spans="14:19" ht="15.75" customHeight="1">
      <c r="N443" s="182"/>
      <c r="O443" s="186"/>
      <c r="P443" s="183"/>
      <c r="Q443" s="186"/>
      <c r="R443" s="187"/>
      <c r="S443" s="184"/>
    </row>
    <row r="444" spans="14:19" ht="15.75" customHeight="1">
      <c r="N444" s="182"/>
      <c r="O444" s="163"/>
      <c r="P444" s="183"/>
      <c r="Q444" s="163"/>
      <c r="R444" s="176"/>
      <c r="S444" s="184"/>
    </row>
    <row r="445" spans="14:19" ht="15.75" customHeight="1">
      <c r="N445" s="182"/>
      <c r="O445" s="186"/>
      <c r="P445" s="183"/>
      <c r="Q445" s="186"/>
      <c r="R445" s="187"/>
      <c r="S445" s="184"/>
    </row>
    <row r="446" spans="14:19" ht="15.75" customHeight="1">
      <c r="N446" s="182"/>
      <c r="O446" s="163"/>
      <c r="P446" s="183"/>
      <c r="Q446" s="163"/>
      <c r="R446" s="176"/>
      <c r="S446" s="184"/>
    </row>
    <row r="447" spans="14:19" ht="15.75" customHeight="1">
      <c r="N447" s="182"/>
      <c r="O447" s="181"/>
      <c r="P447" s="183"/>
      <c r="Q447" s="181"/>
      <c r="R447" s="185"/>
      <c r="S447" s="184"/>
    </row>
    <row r="448" spans="14:19" ht="15.75" customHeight="1">
      <c r="N448" s="182"/>
      <c r="O448" s="186"/>
      <c r="P448" s="183"/>
      <c r="Q448" s="186"/>
      <c r="R448" s="187"/>
      <c r="S448" s="184"/>
    </row>
    <row r="449" spans="14:19" ht="15.75" customHeight="1">
      <c r="N449" s="182"/>
      <c r="O449" s="163"/>
      <c r="P449" s="183"/>
      <c r="Q449" s="163"/>
      <c r="R449" s="176"/>
      <c r="S449" s="184"/>
    </row>
    <row r="450" spans="14:19" ht="15.75" customHeight="1">
      <c r="N450" s="182"/>
      <c r="O450" s="181"/>
      <c r="P450" s="183"/>
      <c r="Q450" s="181"/>
      <c r="R450" s="185"/>
      <c r="S450" s="184"/>
    </row>
    <row r="451" spans="14:19" ht="15.75" customHeight="1">
      <c r="N451" s="182"/>
      <c r="O451" s="163"/>
      <c r="P451" s="183"/>
      <c r="Q451" s="163"/>
      <c r="R451" s="176"/>
      <c r="S451" s="184"/>
    </row>
    <row r="452" spans="14:19" ht="15.75" customHeight="1">
      <c r="N452" s="182"/>
      <c r="O452" s="186"/>
      <c r="P452" s="183"/>
      <c r="Q452" s="186"/>
      <c r="R452" s="187"/>
      <c r="S452" s="184"/>
    </row>
    <row r="453" spans="14:19" ht="15.75" customHeight="1">
      <c r="N453" s="182"/>
      <c r="O453" s="163"/>
      <c r="P453" s="183"/>
      <c r="Q453" s="163"/>
      <c r="R453" s="176"/>
      <c r="S453" s="184"/>
    </row>
    <row r="454" spans="14:19" ht="15.75" customHeight="1">
      <c r="N454" s="182"/>
      <c r="O454" s="186"/>
      <c r="P454" s="183"/>
      <c r="Q454" s="186"/>
      <c r="R454" s="187"/>
      <c r="S454" s="184"/>
    </row>
    <row r="455" spans="14:19" ht="15.75" customHeight="1">
      <c r="N455" s="182"/>
      <c r="O455" s="186"/>
      <c r="P455" s="183"/>
      <c r="Q455" s="186"/>
      <c r="R455" s="187"/>
      <c r="S455" s="184"/>
    </row>
    <row r="456" spans="14:19" ht="15.75" customHeight="1">
      <c r="N456" s="182"/>
      <c r="O456" s="163"/>
      <c r="P456" s="183"/>
      <c r="Q456" s="163"/>
      <c r="R456" s="176"/>
      <c r="S456" s="184"/>
    </row>
    <row r="457" spans="14:19" ht="15.75" customHeight="1">
      <c r="N457" s="182"/>
      <c r="O457" s="181"/>
      <c r="P457" s="183"/>
      <c r="Q457" s="181"/>
      <c r="R457" s="185"/>
      <c r="S457" s="184"/>
    </row>
    <row r="458" spans="14:19" ht="15.75" customHeight="1">
      <c r="N458" s="182"/>
      <c r="O458" s="163"/>
      <c r="P458" s="183"/>
      <c r="Q458" s="163"/>
      <c r="R458" s="176"/>
      <c r="S458" s="184"/>
    </row>
    <row r="459" spans="14:19" ht="15.75" customHeight="1">
      <c r="N459" s="182"/>
      <c r="O459" s="186"/>
      <c r="P459" s="183"/>
      <c r="Q459" s="186"/>
      <c r="R459" s="187"/>
      <c r="S459" s="184"/>
    </row>
    <row r="460" spans="14:19" ht="15.75" customHeight="1">
      <c r="N460" s="182"/>
      <c r="O460" s="163"/>
      <c r="P460" s="183"/>
      <c r="Q460" s="163"/>
      <c r="R460" s="176"/>
      <c r="S460" s="184"/>
    </row>
    <row r="461" spans="14:19" ht="15.75" customHeight="1">
      <c r="N461" s="182"/>
      <c r="O461" s="186"/>
      <c r="P461" s="183"/>
      <c r="Q461" s="186"/>
      <c r="R461" s="187"/>
      <c r="S461" s="184"/>
    </row>
    <row r="462" spans="14:19" ht="15.75" customHeight="1">
      <c r="N462" s="182"/>
      <c r="O462" s="163"/>
      <c r="P462" s="183"/>
      <c r="Q462" s="163"/>
      <c r="R462" s="176"/>
      <c r="S462" s="184"/>
    </row>
    <row r="463" spans="14:19" ht="15.75" customHeight="1">
      <c r="N463" s="182"/>
      <c r="O463" s="181"/>
      <c r="P463" s="183"/>
      <c r="Q463" s="181"/>
      <c r="R463" s="185"/>
      <c r="S463" s="184"/>
    </row>
    <row r="464" spans="14:19" ht="15.75" customHeight="1">
      <c r="N464" s="182"/>
      <c r="O464" s="163"/>
      <c r="P464" s="183"/>
      <c r="Q464" s="163"/>
      <c r="R464" s="176"/>
      <c r="S464" s="184"/>
    </row>
    <row r="465" spans="14:19" ht="15.75" customHeight="1">
      <c r="N465" s="182"/>
      <c r="O465" s="186"/>
      <c r="P465" s="183"/>
      <c r="Q465" s="186"/>
      <c r="R465" s="187"/>
      <c r="S465" s="184"/>
    </row>
    <row r="466" spans="14:19" ht="15.75" customHeight="1">
      <c r="N466" s="182"/>
      <c r="O466" s="163"/>
      <c r="P466" s="183"/>
      <c r="Q466" s="163"/>
      <c r="R466" s="176"/>
      <c r="S466" s="184"/>
    </row>
    <row r="467" spans="14:19" ht="15.75" customHeight="1">
      <c r="N467" s="182"/>
      <c r="O467" s="186"/>
      <c r="P467" s="183"/>
      <c r="Q467" s="186"/>
      <c r="R467" s="187"/>
      <c r="S467" s="184"/>
    </row>
    <row r="468" spans="14:19" ht="15.75" customHeight="1">
      <c r="N468" s="182"/>
      <c r="O468" s="163"/>
      <c r="P468" s="183"/>
      <c r="Q468" s="163"/>
      <c r="R468" s="176"/>
      <c r="S468" s="184"/>
    </row>
    <row r="469" spans="14:19" ht="15.75" customHeight="1">
      <c r="N469" s="182"/>
      <c r="O469" s="186"/>
      <c r="P469" s="183"/>
      <c r="Q469" s="186"/>
      <c r="R469" s="187"/>
      <c r="S469" s="184"/>
    </row>
    <row r="470" spans="14:19" ht="15.75" customHeight="1">
      <c r="N470" s="182"/>
      <c r="O470" s="163"/>
      <c r="P470" s="183"/>
      <c r="Q470" s="163"/>
      <c r="R470" s="176"/>
      <c r="S470" s="184"/>
    </row>
    <row r="471" spans="14:19" ht="15.75" customHeight="1">
      <c r="N471" s="182"/>
      <c r="O471" s="181"/>
      <c r="P471" s="183"/>
      <c r="Q471" s="181"/>
      <c r="R471" s="185"/>
      <c r="S471" s="184"/>
    </row>
    <row r="472" spans="14:19" ht="15.75" customHeight="1">
      <c r="N472" s="182"/>
      <c r="O472" s="163"/>
      <c r="P472" s="183"/>
      <c r="Q472" s="163"/>
      <c r="R472" s="176"/>
      <c r="S472" s="184"/>
    </row>
    <row r="473" spans="14:19" ht="15.75" customHeight="1">
      <c r="N473" s="182"/>
      <c r="O473" s="186"/>
      <c r="P473" s="183"/>
      <c r="Q473" s="186"/>
      <c r="R473" s="187"/>
      <c r="S473" s="184"/>
    </row>
    <row r="474" spans="14:19" ht="15.75" customHeight="1">
      <c r="N474" s="182"/>
      <c r="O474" s="163"/>
      <c r="P474" s="183"/>
      <c r="Q474" s="163"/>
      <c r="R474" s="176"/>
      <c r="S474" s="184"/>
    </row>
    <row r="475" spans="14:19" ht="15.75" customHeight="1">
      <c r="N475" s="182"/>
      <c r="O475" s="186"/>
      <c r="P475" s="183"/>
      <c r="Q475" s="186"/>
      <c r="R475" s="187"/>
      <c r="S475" s="184"/>
    </row>
    <row r="476" spans="14:19" ht="15.75" customHeight="1">
      <c r="N476" s="182"/>
      <c r="O476" s="163"/>
      <c r="P476" s="183"/>
      <c r="Q476" s="163"/>
      <c r="R476" s="176"/>
      <c r="S476" s="184"/>
    </row>
    <row r="477" spans="14:19" ht="15.75" customHeight="1">
      <c r="N477" s="182"/>
      <c r="O477" s="181"/>
      <c r="P477" s="183"/>
      <c r="Q477" s="181"/>
      <c r="R477" s="185"/>
      <c r="S477" s="184"/>
    </row>
    <row r="478" spans="14:19" ht="15.75" customHeight="1">
      <c r="N478" s="182"/>
      <c r="O478" s="163"/>
      <c r="P478" s="183"/>
      <c r="Q478" s="163"/>
      <c r="R478" s="176"/>
      <c r="S478" s="184"/>
    </row>
    <row r="479" spans="14:19" ht="15.75" customHeight="1">
      <c r="N479" s="182"/>
      <c r="O479" s="186"/>
      <c r="P479" s="183"/>
      <c r="Q479" s="186"/>
      <c r="R479" s="187"/>
      <c r="S479" s="184"/>
    </row>
    <row r="480" spans="14:19" ht="15.75" customHeight="1">
      <c r="N480" s="182"/>
      <c r="O480" s="163"/>
      <c r="P480" s="183"/>
      <c r="Q480" s="163"/>
      <c r="R480" s="176"/>
      <c r="S480" s="184"/>
    </row>
    <row r="481" spans="14:19" ht="15.75" customHeight="1">
      <c r="N481" s="182"/>
      <c r="O481" s="186"/>
      <c r="P481" s="183"/>
      <c r="Q481" s="186"/>
      <c r="R481" s="187"/>
      <c r="S481" s="184"/>
    </row>
    <row r="482" spans="14:19" ht="15.75" customHeight="1">
      <c r="N482" s="182"/>
      <c r="O482" s="163"/>
      <c r="P482" s="183"/>
      <c r="Q482" s="163"/>
      <c r="R482" s="176"/>
      <c r="S482" s="184"/>
    </row>
    <row r="483" spans="14:19" ht="15.75" customHeight="1">
      <c r="N483" s="182"/>
      <c r="O483" s="181"/>
      <c r="P483" s="183"/>
      <c r="Q483" s="181"/>
      <c r="R483" s="185"/>
      <c r="S483" s="184"/>
    </row>
    <row r="484" spans="14:19" ht="15.75" customHeight="1">
      <c r="N484" s="182"/>
      <c r="O484" s="163"/>
      <c r="P484" s="183"/>
      <c r="Q484" s="163"/>
      <c r="R484" s="176"/>
      <c r="S484" s="184"/>
    </row>
    <row r="485" spans="14:19" ht="15.75" customHeight="1">
      <c r="N485" s="182"/>
      <c r="O485" s="186"/>
      <c r="P485" s="183"/>
      <c r="Q485" s="186"/>
      <c r="R485" s="187"/>
      <c r="S485" s="184"/>
    </row>
    <row r="486" spans="14:19" ht="15.75" customHeight="1">
      <c r="N486" s="182"/>
      <c r="O486" s="163"/>
      <c r="P486" s="183"/>
      <c r="Q486" s="163"/>
      <c r="R486" s="176"/>
      <c r="S486" s="184"/>
    </row>
    <row r="487" spans="14:19" ht="15.75" customHeight="1">
      <c r="N487" s="182"/>
      <c r="O487" s="186"/>
      <c r="P487" s="183"/>
      <c r="Q487" s="186"/>
      <c r="R487" s="187"/>
      <c r="S487" s="184"/>
    </row>
    <row r="488" spans="14:19" ht="15.75" customHeight="1">
      <c r="N488" s="182"/>
      <c r="O488" s="163"/>
      <c r="P488" s="183"/>
      <c r="Q488" s="163"/>
      <c r="R488" s="176"/>
      <c r="S488" s="184"/>
    </row>
    <row r="489" spans="14:19" ht="15.75" customHeight="1">
      <c r="N489" s="182"/>
      <c r="O489" s="181"/>
      <c r="P489" s="183"/>
      <c r="Q489" s="181"/>
      <c r="R489" s="185"/>
      <c r="S489" s="184"/>
    </row>
    <row r="490" spans="14:19" ht="15.75" customHeight="1">
      <c r="N490" s="182"/>
      <c r="O490" s="186"/>
      <c r="P490" s="183"/>
      <c r="Q490" s="186"/>
      <c r="R490" s="187"/>
      <c r="S490" s="184"/>
    </row>
    <row r="491" spans="14:19" ht="15.75" customHeight="1">
      <c r="N491" s="182"/>
      <c r="O491" s="163"/>
      <c r="P491" s="183"/>
      <c r="Q491" s="163"/>
      <c r="R491" s="176"/>
      <c r="S491" s="184"/>
    </row>
    <row r="492" spans="14:19" ht="15.75" customHeight="1">
      <c r="N492" s="182"/>
      <c r="O492" s="181"/>
      <c r="P492" s="183"/>
      <c r="Q492" s="181"/>
      <c r="R492" s="185"/>
      <c r="S492" s="184"/>
    </row>
    <row r="493" spans="14:19" ht="15.75" customHeight="1">
      <c r="N493" s="182"/>
      <c r="O493" s="163"/>
      <c r="P493" s="183"/>
      <c r="Q493" s="163"/>
      <c r="R493" s="176"/>
      <c r="S493" s="184"/>
    </row>
    <row r="494" spans="14:19" ht="15.75" customHeight="1">
      <c r="N494" s="182"/>
      <c r="O494" s="186"/>
      <c r="P494" s="183"/>
      <c r="Q494" s="186"/>
      <c r="R494" s="187"/>
      <c r="S494" s="184"/>
    </row>
    <row r="495" spans="14:19" ht="15.75" customHeight="1">
      <c r="N495" s="182"/>
      <c r="O495" s="163"/>
      <c r="P495" s="183"/>
      <c r="Q495" s="163"/>
      <c r="R495" s="176"/>
      <c r="S495" s="184"/>
    </row>
    <row r="496" spans="14:19" ht="15.75" customHeight="1">
      <c r="N496" s="182"/>
      <c r="O496" s="186"/>
      <c r="P496" s="183"/>
      <c r="Q496" s="186"/>
      <c r="R496" s="187"/>
      <c r="S496" s="184"/>
    </row>
    <row r="497" spans="14:19" ht="15.75" customHeight="1">
      <c r="N497" s="182"/>
      <c r="O497" s="186"/>
      <c r="P497" s="183"/>
      <c r="Q497" s="186"/>
      <c r="R497" s="187"/>
      <c r="S497" s="184"/>
    </row>
    <row r="498" spans="14:19" ht="15.75" customHeight="1">
      <c r="N498" s="182"/>
      <c r="O498" s="163"/>
      <c r="P498" s="183"/>
      <c r="Q498" s="163"/>
      <c r="R498" s="176"/>
      <c r="S498" s="184"/>
    </row>
    <row r="499" spans="14:19" ht="15.75" customHeight="1">
      <c r="N499" s="182"/>
      <c r="O499" s="181"/>
      <c r="P499" s="183"/>
      <c r="Q499" s="181"/>
      <c r="R499" s="185"/>
      <c r="S499" s="184"/>
    </row>
    <row r="500" spans="14:19" ht="15.75" customHeight="1">
      <c r="N500" s="182"/>
      <c r="O500" s="163"/>
      <c r="P500" s="183"/>
      <c r="Q500" s="163"/>
      <c r="R500" s="176"/>
      <c r="S500" s="184"/>
    </row>
    <row r="501" spans="14:19" ht="15.75" customHeight="1">
      <c r="N501" s="182"/>
      <c r="O501" s="186"/>
      <c r="P501" s="183"/>
      <c r="Q501" s="186"/>
      <c r="R501" s="187"/>
      <c r="S501" s="184"/>
    </row>
    <row r="502" spans="14:19" ht="15.75" customHeight="1">
      <c r="N502" s="182"/>
      <c r="O502" s="163"/>
      <c r="P502" s="183"/>
      <c r="Q502" s="163"/>
      <c r="R502" s="176"/>
      <c r="S502" s="184"/>
    </row>
    <row r="503" spans="14:19" ht="15.75" customHeight="1">
      <c r="N503" s="182"/>
      <c r="O503" s="186"/>
      <c r="P503" s="183"/>
      <c r="Q503" s="186"/>
      <c r="R503" s="187"/>
      <c r="S503" s="184"/>
    </row>
    <row r="504" spans="14:19" ht="15.75" customHeight="1">
      <c r="N504" s="182"/>
      <c r="O504" s="163"/>
      <c r="P504" s="183"/>
      <c r="Q504" s="163"/>
      <c r="R504" s="176"/>
      <c r="S504" s="184"/>
    </row>
    <row r="505" spans="14:19" ht="15.75" customHeight="1">
      <c r="N505" s="182"/>
      <c r="O505" s="181"/>
      <c r="P505" s="183"/>
      <c r="Q505" s="181"/>
      <c r="R505" s="185"/>
      <c r="S505" s="184"/>
    </row>
    <row r="506" spans="14:19" ht="15.75" customHeight="1">
      <c r="N506" s="182"/>
      <c r="O506" s="163"/>
      <c r="P506" s="183"/>
      <c r="Q506" s="163"/>
      <c r="R506" s="176"/>
      <c r="S506" s="184"/>
    </row>
    <row r="507" spans="14:19" ht="15.75" customHeight="1">
      <c r="N507" s="182"/>
      <c r="O507" s="186"/>
      <c r="P507" s="183"/>
      <c r="Q507" s="186"/>
      <c r="R507" s="187"/>
      <c r="S507" s="184"/>
    </row>
    <row r="508" spans="14:19" ht="15.75" customHeight="1">
      <c r="N508" s="182"/>
      <c r="O508" s="163"/>
      <c r="P508" s="183"/>
      <c r="Q508" s="163"/>
      <c r="R508" s="176"/>
      <c r="S508" s="184"/>
    </row>
    <row r="509" spans="14:19" ht="15.75" customHeight="1">
      <c r="N509" s="182"/>
      <c r="O509" s="186"/>
      <c r="P509" s="183"/>
      <c r="Q509" s="186"/>
      <c r="R509" s="187"/>
      <c r="S509" s="184"/>
    </row>
    <row r="510" spans="14:19" ht="15.75" customHeight="1">
      <c r="N510" s="182"/>
      <c r="O510" s="163"/>
      <c r="P510" s="183"/>
      <c r="Q510" s="163"/>
      <c r="R510" s="176"/>
      <c r="S510" s="184"/>
    </row>
    <row r="511" spans="14:19" ht="15.75" customHeight="1">
      <c r="N511" s="182"/>
      <c r="O511" s="186"/>
      <c r="P511" s="183"/>
      <c r="Q511" s="186"/>
      <c r="R511" s="187"/>
      <c r="S511" s="184"/>
    </row>
    <row r="512" spans="14:19" ht="15.75" customHeight="1">
      <c r="N512" s="182"/>
      <c r="O512" s="163"/>
      <c r="P512" s="183"/>
      <c r="Q512" s="163"/>
      <c r="R512" s="176"/>
      <c r="S512" s="184"/>
    </row>
    <row r="513" spans="14:19" ht="15.75" customHeight="1">
      <c r="N513" s="182"/>
      <c r="O513" s="181"/>
      <c r="P513" s="183"/>
      <c r="Q513" s="181"/>
      <c r="R513" s="185"/>
      <c r="S513" s="184"/>
    </row>
    <row r="514" spans="14:19" ht="15.75" customHeight="1">
      <c r="N514" s="182"/>
      <c r="O514" s="163"/>
      <c r="P514" s="183"/>
      <c r="Q514" s="163"/>
      <c r="R514" s="176"/>
      <c r="S514" s="184"/>
    </row>
    <row r="515" spans="14:19" ht="15.75" customHeight="1">
      <c r="N515" s="182"/>
      <c r="O515" s="186"/>
      <c r="P515" s="183"/>
      <c r="Q515" s="186"/>
      <c r="R515" s="187"/>
      <c r="S515" s="184"/>
    </row>
    <row r="516" spans="14:19" ht="15.75" customHeight="1">
      <c r="N516" s="182"/>
      <c r="O516" s="163"/>
      <c r="P516" s="183"/>
      <c r="Q516" s="163"/>
      <c r="R516" s="176"/>
      <c r="S516" s="184"/>
    </row>
    <row r="517" spans="14:19" ht="15.75" customHeight="1">
      <c r="N517" s="182"/>
      <c r="O517" s="186"/>
      <c r="P517" s="183"/>
      <c r="Q517" s="186"/>
      <c r="R517" s="187"/>
      <c r="S517" s="184"/>
    </row>
    <row r="518" spans="14:19" ht="15.75" customHeight="1">
      <c r="N518" s="182"/>
      <c r="O518" s="163"/>
      <c r="P518" s="183"/>
      <c r="Q518" s="163"/>
      <c r="R518" s="176"/>
      <c r="S518" s="184"/>
    </row>
    <row r="519" spans="14:19" ht="15.75" customHeight="1">
      <c r="N519" s="182"/>
      <c r="O519" s="181"/>
      <c r="P519" s="183"/>
      <c r="Q519" s="181"/>
      <c r="R519" s="185"/>
      <c r="S519" s="184"/>
    </row>
    <row r="520" spans="14:19" ht="15.75" customHeight="1">
      <c r="N520" s="182"/>
      <c r="O520" s="163"/>
      <c r="P520" s="183"/>
      <c r="Q520" s="163"/>
      <c r="R520" s="176"/>
      <c r="S520" s="184"/>
    </row>
    <row r="521" spans="14:19" ht="15.75" customHeight="1">
      <c r="N521" s="182"/>
      <c r="O521" s="186"/>
      <c r="P521" s="183"/>
      <c r="Q521" s="186"/>
      <c r="R521" s="187"/>
      <c r="S521" s="184"/>
    </row>
    <row r="522" spans="14:19" ht="15.75" customHeight="1">
      <c r="N522" s="182"/>
      <c r="O522" s="163"/>
      <c r="P522" s="183"/>
      <c r="Q522" s="163"/>
      <c r="R522" s="176"/>
      <c r="S522" s="184"/>
    </row>
    <row r="523" spans="14:19" ht="15.75" customHeight="1">
      <c r="N523" s="182"/>
      <c r="O523" s="186"/>
      <c r="P523" s="183"/>
      <c r="Q523" s="186"/>
      <c r="R523" s="187"/>
      <c r="S523" s="184"/>
    </row>
    <row r="524" spans="14:19" ht="15.75" customHeight="1">
      <c r="N524" s="182"/>
      <c r="O524" s="163"/>
      <c r="P524" s="183"/>
      <c r="Q524" s="163"/>
      <c r="R524" s="176"/>
      <c r="S524" s="184"/>
    </row>
  </sheetData>
  <autoFilter ref="F9:K11" xr:uid="{00000000-0009-0000-0000-000000000000}"/>
  <mergeCells count="6">
    <mergeCell ref="E2:K2"/>
    <mergeCell ref="B4:C5"/>
    <mergeCell ref="K6:N6"/>
    <mergeCell ref="O6:R6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000-000000000000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9">
    <outlinePr summaryBelow="0" summaryRight="0"/>
  </sheetPr>
  <dimension ref="A1:AC524"/>
  <sheetViews>
    <sheetView topLeftCell="J58" zoomScale="55" zoomScaleNormal="55" workbookViewId="0">
      <selection activeCell="N30" sqref="N30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33.26953125" style="227" customWidth="1"/>
    <col min="15" max="15" width="35.81640625" style="227" bestFit="1" customWidth="1"/>
    <col min="16" max="16" width="16.1796875" style="227" bestFit="1" customWidth="1"/>
    <col min="17" max="17" width="25.54296875" style="227" bestFit="1" customWidth="1"/>
    <col min="18" max="18" width="27.1796875" style="227" bestFit="1" customWidth="1"/>
    <col min="19" max="19" width="28.54296875" style="227" bestFit="1" customWidth="1"/>
    <col min="20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8"/>
      <c r="S1" s="177"/>
      <c r="T1" s="177"/>
      <c r="U1" s="177"/>
      <c r="V1" s="177"/>
      <c r="W1" s="177"/>
      <c r="X1" s="177"/>
      <c r="Y1" s="177"/>
      <c r="Z1" s="177"/>
      <c r="AA1" s="177"/>
      <c r="AB1" s="79"/>
    </row>
    <row r="2" spans="1:28" ht="19.5" customHeight="1">
      <c r="A2" s="96"/>
      <c r="B2" s="96"/>
      <c r="C2" s="96" t="s">
        <v>71</v>
      </c>
      <c r="D2" s="78"/>
      <c r="E2" s="230" t="s">
        <v>97</v>
      </c>
      <c r="F2" s="230"/>
      <c r="G2" s="230"/>
      <c r="H2" s="230"/>
      <c r="I2" s="230"/>
      <c r="J2" s="230"/>
      <c r="K2" s="230"/>
      <c r="L2" s="112"/>
      <c r="M2" s="112"/>
      <c r="N2" s="112"/>
      <c r="O2" s="112"/>
      <c r="P2" s="112"/>
      <c r="Q2" s="112"/>
      <c r="R2" s="178"/>
      <c r="S2" s="177"/>
      <c r="T2" s="177"/>
      <c r="U2" s="177"/>
      <c r="V2" s="177"/>
      <c r="W2" s="177"/>
      <c r="X2" s="177"/>
      <c r="Y2" s="177"/>
      <c r="Z2" s="177"/>
      <c r="AA2" s="177"/>
      <c r="AB2" s="79"/>
    </row>
    <row r="3" spans="1:28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12"/>
      <c r="M3" s="112"/>
      <c r="N3" s="112"/>
      <c r="O3" s="112"/>
      <c r="P3" s="112"/>
      <c r="Q3" s="112"/>
      <c r="R3" s="178"/>
      <c r="S3" s="177"/>
      <c r="T3" s="177"/>
      <c r="U3" s="177"/>
      <c r="V3" s="177"/>
      <c r="W3" s="177"/>
      <c r="X3" s="177"/>
      <c r="Y3" s="177"/>
      <c r="Z3" s="177"/>
      <c r="AA3" s="177"/>
      <c r="AB3" s="79"/>
    </row>
    <row r="4" spans="1:28" ht="16" customHeight="1">
      <c r="A4" s="62"/>
      <c r="B4" s="231" t="s">
        <v>72</v>
      </c>
      <c r="C4" s="231"/>
      <c r="D4" s="78"/>
      <c r="E4" s="105"/>
      <c r="F4" s="105"/>
      <c r="G4" s="105"/>
      <c r="H4" s="105"/>
      <c r="I4" s="105"/>
      <c r="J4" s="105"/>
      <c r="K4" s="105"/>
      <c r="L4" s="112"/>
      <c r="M4" s="112"/>
      <c r="N4" s="112"/>
      <c r="O4" s="112"/>
      <c r="P4" s="112"/>
      <c r="Q4" s="112"/>
      <c r="R4" s="178"/>
      <c r="S4" s="177"/>
      <c r="T4" s="177"/>
      <c r="U4" s="177"/>
      <c r="V4" s="177"/>
      <c r="W4" s="177"/>
      <c r="X4" s="177"/>
      <c r="Y4" s="177"/>
      <c r="Z4" s="177"/>
      <c r="AA4" s="177"/>
      <c r="AB4" s="79"/>
    </row>
    <row r="5" spans="1:28" ht="15.75" customHeight="1">
      <c r="A5" s="62"/>
      <c r="B5" s="231"/>
      <c r="C5" s="231"/>
      <c r="D5" s="78"/>
      <c r="E5" s="78"/>
      <c r="F5" s="78"/>
      <c r="G5" s="78"/>
      <c r="H5" s="177"/>
      <c r="I5" s="177"/>
      <c r="J5" s="177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  <c r="X5" s="78"/>
      <c r="Y5" s="78"/>
      <c r="Z5" s="78"/>
      <c r="AA5" s="78"/>
      <c r="AB5" s="79"/>
    </row>
    <row r="6" spans="1:28" ht="25" customHeight="1">
      <c r="A6" s="62"/>
      <c r="B6" s="97"/>
      <c r="C6" s="99" t="s">
        <v>37</v>
      </c>
      <c r="D6" s="79"/>
      <c r="E6" s="120"/>
      <c r="F6" s="179"/>
      <c r="G6" s="124"/>
      <c r="H6" s="158"/>
      <c r="I6" s="158"/>
      <c r="J6" s="158"/>
      <c r="K6" s="232"/>
      <c r="L6" s="232"/>
      <c r="M6" s="232"/>
      <c r="N6" s="232"/>
      <c r="O6" s="232"/>
      <c r="P6" s="232"/>
      <c r="Q6" s="232"/>
      <c r="R6" s="233"/>
      <c r="S6" s="79"/>
      <c r="T6" s="79"/>
      <c r="U6" s="79"/>
      <c r="V6" s="79"/>
      <c r="W6" s="79"/>
      <c r="X6" s="79"/>
      <c r="Y6" s="79"/>
      <c r="Z6" s="79"/>
      <c r="AA6" s="82"/>
      <c r="AB6" s="79"/>
    </row>
    <row r="7" spans="1:28" ht="19" customHeight="1">
      <c r="A7" s="62"/>
      <c r="B7" s="62"/>
      <c r="C7" s="98" t="s">
        <v>38</v>
      </c>
      <c r="D7" s="80"/>
      <c r="E7" s="119"/>
      <c r="F7" s="234" t="s">
        <v>42</v>
      </c>
      <c r="G7" s="235"/>
      <c r="H7" s="235"/>
      <c r="I7" s="235"/>
      <c r="J7" s="235"/>
      <c r="K7" s="236"/>
      <c r="L7" s="180"/>
      <c r="M7" s="180"/>
      <c r="N7" s="234" t="s">
        <v>117</v>
      </c>
      <c r="O7" s="235"/>
      <c r="P7" s="235"/>
      <c r="Q7" s="235"/>
      <c r="R7" s="235"/>
      <c r="S7" s="236"/>
      <c r="T7" s="79"/>
      <c r="U7" s="79"/>
      <c r="V7" s="79"/>
      <c r="W7" s="79"/>
      <c r="X7" s="79"/>
      <c r="Y7" s="79"/>
      <c r="Z7" s="79"/>
      <c r="AA7" s="177"/>
      <c r="AB7" s="79"/>
    </row>
    <row r="8" spans="1:28" ht="20.149999999999999" customHeight="1">
      <c r="A8" s="62"/>
      <c r="B8" s="62"/>
      <c r="C8" s="98" t="s">
        <v>39</v>
      </c>
      <c r="D8" s="80"/>
      <c r="E8" s="127"/>
      <c r="F8" s="143" t="s">
        <v>84</v>
      </c>
      <c r="G8" s="123" t="s">
        <v>85</v>
      </c>
      <c r="H8" s="123" t="s">
        <v>86</v>
      </c>
      <c r="I8" s="123" t="s">
        <v>94</v>
      </c>
      <c r="J8" s="123" t="s">
        <v>88</v>
      </c>
      <c r="K8" s="144" t="s">
        <v>99</v>
      </c>
      <c r="L8" s="180"/>
      <c r="M8" s="180"/>
      <c r="N8" s="143" t="s">
        <v>84</v>
      </c>
      <c r="O8" s="123" t="s">
        <v>85</v>
      </c>
      <c r="P8" s="123" t="s">
        <v>86</v>
      </c>
      <c r="Q8" s="123" t="s">
        <v>94</v>
      </c>
      <c r="R8" s="123" t="s">
        <v>88</v>
      </c>
      <c r="S8" s="144" t="s">
        <v>99</v>
      </c>
      <c r="T8" s="79"/>
      <c r="U8" s="79"/>
      <c r="V8" s="79"/>
      <c r="W8" s="79"/>
      <c r="X8" s="79"/>
      <c r="Y8" s="79"/>
      <c r="Z8" s="79"/>
      <c r="AA8" s="177"/>
      <c r="AB8" s="79"/>
    </row>
    <row r="9" spans="1:28" ht="20.149999999999999" customHeight="1">
      <c r="A9" s="62"/>
      <c r="B9" s="62"/>
      <c r="C9" s="98" t="s">
        <v>40</v>
      </c>
      <c r="D9" s="80"/>
      <c r="E9" s="127"/>
      <c r="F9" s="182">
        <v>45565</v>
      </c>
      <c r="G9" s="163" t="s">
        <v>98</v>
      </c>
      <c r="H9" s="183">
        <v>155000</v>
      </c>
      <c r="I9" s="163" t="s">
        <v>1</v>
      </c>
      <c r="J9" s="176"/>
      <c r="K9" s="184" t="s">
        <v>100</v>
      </c>
      <c r="L9" s="180"/>
      <c r="M9" s="180"/>
      <c r="N9" s="182">
        <v>45577</v>
      </c>
      <c r="O9" s="163" t="s">
        <v>118</v>
      </c>
      <c r="P9" s="183">
        <v>156000</v>
      </c>
      <c r="Q9" s="163" t="s">
        <v>2</v>
      </c>
      <c r="R9" s="176" t="s">
        <v>119</v>
      </c>
      <c r="S9" s="184" t="s">
        <v>120</v>
      </c>
      <c r="T9" s="177"/>
      <c r="U9" s="177"/>
      <c r="V9" s="177"/>
      <c r="W9" s="177"/>
      <c r="X9" s="177"/>
      <c r="Y9" s="177"/>
      <c r="Z9" s="177"/>
      <c r="AA9" s="177"/>
      <c r="AB9" s="79"/>
    </row>
    <row r="10" spans="1:28" ht="20.149999999999999" customHeight="1">
      <c r="A10" s="62"/>
      <c r="B10" s="62"/>
      <c r="C10" s="99" t="s">
        <v>41</v>
      </c>
      <c r="D10" s="79"/>
      <c r="E10" s="119"/>
      <c r="F10" s="182">
        <v>45565</v>
      </c>
      <c r="G10" s="181" t="s">
        <v>101</v>
      </c>
      <c r="H10" s="183">
        <v>139000</v>
      </c>
      <c r="I10" s="181" t="s">
        <v>32</v>
      </c>
      <c r="J10" s="185" t="s">
        <v>102</v>
      </c>
      <c r="K10" s="184" t="s">
        <v>101</v>
      </c>
      <c r="L10" s="180"/>
      <c r="M10" s="145"/>
      <c r="N10" s="220">
        <v>45581</v>
      </c>
      <c r="O10" s="221" t="s">
        <v>122</v>
      </c>
      <c r="P10" s="222">
        <v>77000</v>
      </c>
      <c r="Q10" s="221" t="s">
        <v>2</v>
      </c>
      <c r="R10" s="223" t="s">
        <v>123</v>
      </c>
      <c r="S10" s="224" t="s">
        <v>124</v>
      </c>
      <c r="T10" s="79"/>
      <c r="U10" s="79"/>
      <c r="V10" s="79"/>
      <c r="W10" s="79"/>
      <c r="X10" s="79"/>
      <c r="Y10" s="79"/>
      <c r="Z10" s="79"/>
      <c r="AA10" s="79"/>
      <c r="AB10" s="79"/>
    </row>
    <row r="11" spans="1:28" ht="25" customHeight="1">
      <c r="A11" s="62"/>
      <c r="B11" s="62"/>
      <c r="C11" s="99" t="s">
        <v>42</v>
      </c>
      <c r="D11" s="79"/>
      <c r="E11" s="119"/>
      <c r="F11" s="182">
        <v>45566</v>
      </c>
      <c r="G11" s="163" t="s">
        <v>104</v>
      </c>
      <c r="H11" s="183">
        <v>1223123</v>
      </c>
      <c r="I11" s="163" t="s">
        <v>3</v>
      </c>
      <c r="J11" s="176" t="s">
        <v>106</v>
      </c>
      <c r="K11" s="184" t="s">
        <v>105</v>
      </c>
      <c r="L11" s="180"/>
      <c r="M11" s="147"/>
      <c r="N11" s="220">
        <v>45581</v>
      </c>
      <c r="O11" s="225" t="s">
        <v>125</v>
      </c>
      <c r="P11" s="222">
        <v>75900</v>
      </c>
      <c r="Q11" s="225" t="s">
        <v>1</v>
      </c>
      <c r="R11" s="226" t="s">
        <v>126</v>
      </c>
      <c r="S11" s="224" t="s">
        <v>124</v>
      </c>
      <c r="T11" s="79"/>
      <c r="U11" s="79"/>
      <c r="V11" s="79"/>
      <c r="W11" s="79"/>
      <c r="X11" s="79"/>
      <c r="Y11" s="79"/>
      <c r="Z11" s="79"/>
      <c r="AA11" s="79"/>
      <c r="AB11" s="79"/>
    </row>
    <row r="12" spans="1:28" ht="26.15" customHeight="1">
      <c r="A12" s="62"/>
      <c r="B12" s="62"/>
      <c r="C12" s="99" t="s">
        <v>73</v>
      </c>
      <c r="D12" s="79"/>
      <c r="E12" s="119"/>
      <c r="F12" s="182"/>
      <c r="G12" s="186"/>
      <c r="H12" s="183"/>
      <c r="I12" s="186"/>
      <c r="J12" s="187"/>
      <c r="K12" s="184"/>
      <c r="L12" s="180"/>
      <c r="M12" s="180"/>
      <c r="N12" s="220">
        <v>45581</v>
      </c>
      <c r="O12" s="225" t="s">
        <v>127</v>
      </c>
      <c r="P12" s="222">
        <v>15000</v>
      </c>
      <c r="Q12" s="225" t="s">
        <v>32</v>
      </c>
      <c r="R12" s="226" t="s">
        <v>128</v>
      </c>
      <c r="S12" s="224" t="s">
        <v>124</v>
      </c>
      <c r="T12" s="79"/>
      <c r="U12" s="79"/>
      <c r="V12" s="79"/>
      <c r="W12" s="79"/>
      <c r="X12" s="79"/>
      <c r="Y12" s="79"/>
      <c r="Z12" s="79"/>
      <c r="AA12" s="79"/>
      <c r="AB12" s="79"/>
    </row>
    <row r="13" spans="1:28" ht="28.5" customHeight="1">
      <c r="A13" s="62"/>
      <c r="B13" s="62"/>
      <c r="C13" s="99" t="s">
        <v>74</v>
      </c>
      <c r="D13" s="79"/>
      <c r="E13" s="119"/>
      <c r="F13" s="182"/>
      <c r="G13" s="163"/>
      <c r="H13" s="183"/>
      <c r="I13" s="163"/>
      <c r="J13" s="176"/>
      <c r="K13" s="184"/>
      <c r="L13" s="180"/>
      <c r="M13" s="180"/>
      <c r="N13" s="220">
        <v>45581</v>
      </c>
      <c r="O13" s="225" t="s">
        <v>129</v>
      </c>
      <c r="P13" s="222">
        <v>28400</v>
      </c>
      <c r="Q13" s="225" t="s">
        <v>3</v>
      </c>
      <c r="R13" s="226" t="s">
        <v>130</v>
      </c>
      <c r="S13" s="224" t="s">
        <v>124</v>
      </c>
      <c r="T13" s="79"/>
      <c r="U13" s="79"/>
      <c r="V13" s="79"/>
      <c r="W13" s="79"/>
      <c r="X13" s="79"/>
      <c r="Y13" s="79"/>
      <c r="Z13" s="79"/>
      <c r="AA13" s="79"/>
      <c r="AB13" s="79"/>
    </row>
    <row r="14" spans="1:28" ht="15.75" customHeight="1">
      <c r="A14" s="62"/>
      <c r="B14" s="62"/>
      <c r="C14" s="62"/>
      <c r="D14" s="79"/>
      <c r="E14" s="119"/>
      <c r="F14" s="182"/>
      <c r="G14" s="181"/>
      <c r="H14" s="183"/>
      <c r="I14" s="181"/>
      <c r="J14" s="185"/>
      <c r="K14" s="184"/>
      <c r="L14" s="178"/>
      <c r="M14" s="178"/>
      <c r="N14" s="220">
        <v>45581</v>
      </c>
      <c r="O14" s="221" t="s">
        <v>131</v>
      </c>
      <c r="P14" s="222">
        <v>10000</v>
      </c>
      <c r="Q14" s="221" t="s">
        <v>2</v>
      </c>
      <c r="R14" s="223" t="s">
        <v>2</v>
      </c>
      <c r="S14" s="224" t="s">
        <v>124</v>
      </c>
      <c r="T14" s="79"/>
      <c r="U14" s="79"/>
      <c r="V14" s="79"/>
      <c r="W14" s="79"/>
      <c r="X14" s="79"/>
      <c r="Y14" s="79"/>
      <c r="Z14" s="79"/>
      <c r="AA14" s="79"/>
      <c r="AB14" s="79"/>
    </row>
    <row r="15" spans="1:28" ht="15.75" customHeight="1">
      <c r="A15" s="62"/>
      <c r="B15" s="62"/>
      <c r="C15" s="62"/>
      <c r="D15" s="79"/>
      <c r="E15" s="119"/>
      <c r="F15" s="182"/>
      <c r="G15" s="163"/>
      <c r="H15" s="183"/>
      <c r="I15" s="163"/>
      <c r="J15" s="176"/>
      <c r="K15" s="184"/>
      <c r="L15" s="178"/>
      <c r="M15" s="178"/>
      <c r="N15" s="220">
        <v>45581</v>
      </c>
      <c r="O15" s="225" t="s">
        <v>132</v>
      </c>
      <c r="P15" s="222">
        <v>15000</v>
      </c>
      <c r="Q15" s="225" t="s">
        <v>32</v>
      </c>
      <c r="R15" s="226" t="s">
        <v>133</v>
      </c>
      <c r="S15" s="224" t="s">
        <v>124</v>
      </c>
      <c r="T15" s="79"/>
      <c r="U15" s="79"/>
      <c r="V15" s="79"/>
      <c r="W15" s="79"/>
      <c r="X15" s="79"/>
      <c r="Y15" s="79"/>
      <c r="Z15" s="79"/>
      <c r="AA15" s="79"/>
      <c r="AB15" s="79"/>
    </row>
    <row r="16" spans="1:28" ht="15.75" customHeight="1">
      <c r="A16" s="62"/>
      <c r="B16" s="62"/>
      <c r="C16" s="62"/>
      <c r="D16" s="79" t="s">
        <v>52</v>
      </c>
      <c r="E16" s="119"/>
      <c r="F16" s="182"/>
      <c r="G16" s="186"/>
      <c r="H16" s="183"/>
      <c r="I16" s="186"/>
      <c r="J16" s="187"/>
      <c r="K16" s="184"/>
      <c r="L16" s="178"/>
      <c r="M16" s="178"/>
      <c r="N16" s="220">
        <v>45584</v>
      </c>
      <c r="O16" s="225" t="s">
        <v>134</v>
      </c>
      <c r="P16" s="222">
        <v>180000</v>
      </c>
      <c r="Q16" s="225" t="s">
        <v>2</v>
      </c>
      <c r="R16" s="226" t="s">
        <v>2</v>
      </c>
      <c r="S16" s="224" t="s">
        <v>135</v>
      </c>
      <c r="T16" s="79"/>
      <c r="U16" s="79"/>
      <c r="V16" s="79"/>
      <c r="W16" s="79"/>
      <c r="X16" s="79"/>
      <c r="Y16" s="79"/>
      <c r="Z16" s="79"/>
      <c r="AA16" s="79"/>
      <c r="AB16" s="79"/>
    </row>
    <row r="17" spans="1:28" ht="15.75" customHeight="1">
      <c r="A17" s="62"/>
      <c r="B17" s="62"/>
      <c r="C17" s="62"/>
      <c r="D17" s="79"/>
      <c r="E17" s="119"/>
      <c r="F17" s="182"/>
      <c r="G17" s="163"/>
      <c r="H17" s="183"/>
      <c r="I17" s="163"/>
      <c r="J17" s="176"/>
      <c r="K17" s="184"/>
      <c r="L17" s="178"/>
      <c r="M17" s="178"/>
      <c r="N17" s="220">
        <v>45584</v>
      </c>
      <c r="O17" s="225" t="s">
        <v>136</v>
      </c>
      <c r="P17" s="222">
        <v>10000</v>
      </c>
      <c r="Q17" s="225" t="s">
        <v>2</v>
      </c>
      <c r="R17" s="226" t="s">
        <v>2</v>
      </c>
      <c r="S17" s="224" t="s">
        <v>135</v>
      </c>
      <c r="T17" s="79"/>
      <c r="U17" s="79"/>
      <c r="V17" s="79"/>
      <c r="W17" s="79"/>
      <c r="X17" s="79"/>
      <c r="Y17" s="79"/>
      <c r="Z17" s="79"/>
      <c r="AA17" s="79"/>
      <c r="AB17" s="79"/>
    </row>
    <row r="18" spans="1:28" ht="15.75" customHeight="1">
      <c r="A18" s="62"/>
      <c r="B18" s="62"/>
      <c r="C18" s="62"/>
      <c r="D18" s="79"/>
      <c r="E18" s="119"/>
      <c r="F18" s="182"/>
      <c r="G18" s="181"/>
      <c r="H18" s="183"/>
      <c r="I18" s="181"/>
      <c r="J18" s="185"/>
      <c r="K18" s="184"/>
      <c r="L18" s="178"/>
      <c r="M18" s="178"/>
      <c r="N18" s="220">
        <v>45584</v>
      </c>
      <c r="O18" s="221" t="s">
        <v>137</v>
      </c>
      <c r="P18" s="222">
        <v>58000</v>
      </c>
      <c r="Q18" s="221" t="s">
        <v>2</v>
      </c>
      <c r="R18" s="223" t="s">
        <v>2</v>
      </c>
      <c r="S18" s="224" t="s">
        <v>135</v>
      </c>
      <c r="T18" s="79"/>
      <c r="U18" s="79"/>
      <c r="V18" s="79"/>
      <c r="W18" s="79"/>
      <c r="X18" s="79"/>
      <c r="Y18" s="79"/>
      <c r="Z18" s="79"/>
      <c r="AA18" s="79"/>
      <c r="AB18" s="79"/>
    </row>
    <row r="19" spans="1:28" ht="15.75" customHeight="1">
      <c r="A19" s="62"/>
      <c r="B19" s="62"/>
      <c r="C19" s="62"/>
      <c r="D19" s="79"/>
      <c r="E19" s="119"/>
      <c r="F19" s="182"/>
      <c r="G19" s="163"/>
      <c r="H19" s="183"/>
      <c r="I19" s="163"/>
      <c r="J19" s="176"/>
      <c r="K19" s="184"/>
      <c r="L19" s="178"/>
      <c r="M19" s="178"/>
      <c r="N19" s="220">
        <v>45584</v>
      </c>
      <c r="O19" s="225" t="s">
        <v>138</v>
      </c>
      <c r="P19" s="222">
        <v>5000</v>
      </c>
      <c r="Q19" s="225" t="s">
        <v>2</v>
      </c>
      <c r="R19" s="226" t="s">
        <v>2</v>
      </c>
      <c r="S19" s="224" t="s">
        <v>135</v>
      </c>
      <c r="T19" s="79"/>
      <c r="U19" s="79"/>
      <c r="V19" s="79"/>
      <c r="W19" s="79"/>
      <c r="X19" s="79"/>
      <c r="Y19" s="79"/>
      <c r="Z19" s="79"/>
      <c r="AA19" s="79"/>
      <c r="AB19" s="79"/>
    </row>
    <row r="20" spans="1:28" ht="15.75" customHeight="1">
      <c r="A20" s="62"/>
      <c r="B20" s="62"/>
      <c r="C20" s="62"/>
      <c r="D20" s="79"/>
      <c r="E20" s="119"/>
      <c r="F20" s="182"/>
      <c r="G20" s="186"/>
      <c r="H20" s="183"/>
      <c r="I20" s="186"/>
      <c r="J20" s="187"/>
      <c r="K20" s="184"/>
      <c r="L20" s="178"/>
      <c r="M20" s="178"/>
      <c r="N20" s="220">
        <v>45585</v>
      </c>
      <c r="O20" s="225" t="s">
        <v>139</v>
      </c>
      <c r="P20" s="222">
        <v>10000</v>
      </c>
      <c r="Q20" s="225" t="s">
        <v>1</v>
      </c>
      <c r="R20" s="226" t="s">
        <v>1</v>
      </c>
      <c r="S20" s="224" t="s">
        <v>124</v>
      </c>
      <c r="T20" s="79"/>
      <c r="U20" s="79"/>
      <c r="V20" s="79"/>
      <c r="W20" s="79"/>
      <c r="X20" s="79"/>
      <c r="Y20" s="79"/>
      <c r="Z20" s="79"/>
      <c r="AA20" s="79"/>
      <c r="AB20" s="79"/>
    </row>
    <row r="21" spans="1:28" ht="15.75" customHeight="1">
      <c r="A21" s="62"/>
      <c r="B21" s="62"/>
      <c r="C21" s="62"/>
      <c r="D21" s="79"/>
      <c r="E21" s="119"/>
      <c r="F21" s="182"/>
      <c r="G21" s="163"/>
      <c r="H21" s="183"/>
      <c r="I21" s="163"/>
      <c r="J21" s="176"/>
      <c r="K21" s="184"/>
      <c r="L21" s="178"/>
      <c r="M21" s="178"/>
      <c r="N21" s="220">
        <v>45585</v>
      </c>
      <c r="O21" s="225" t="s">
        <v>140</v>
      </c>
      <c r="P21" s="222">
        <v>15000</v>
      </c>
      <c r="Q21" s="225" t="s">
        <v>2</v>
      </c>
      <c r="R21" s="226" t="s">
        <v>2</v>
      </c>
      <c r="S21" s="224" t="s">
        <v>124</v>
      </c>
      <c r="T21" s="79"/>
      <c r="U21" s="79"/>
      <c r="V21" s="79"/>
      <c r="W21" s="79"/>
      <c r="X21" s="79"/>
      <c r="Y21" s="79"/>
      <c r="Z21" s="79"/>
      <c r="AA21" s="79"/>
      <c r="AB21" s="79"/>
    </row>
    <row r="22" spans="1:28" ht="15.75" customHeight="1">
      <c r="A22" s="62"/>
      <c r="B22" s="62"/>
      <c r="C22" s="62"/>
      <c r="D22" s="79"/>
      <c r="E22" s="119"/>
      <c r="F22" s="182"/>
      <c r="G22" s="181"/>
      <c r="H22" s="183"/>
      <c r="I22" s="181"/>
      <c r="J22" s="185"/>
      <c r="K22" s="184"/>
      <c r="L22" s="178"/>
      <c r="M22" s="178"/>
      <c r="N22" s="220">
        <v>45585</v>
      </c>
      <c r="O22" s="221" t="s">
        <v>141</v>
      </c>
      <c r="P22" s="222">
        <v>10000</v>
      </c>
      <c r="Q22" s="221" t="s">
        <v>2</v>
      </c>
      <c r="R22" s="223" t="s">
        <v>2</v>
      </c>
      <c r="S22" s="224" t="s">
        <v>124</v>
      </c>
      <c r="T22" s="79"/>
      <c r="U22" s="79"/>
      <c r="V22" s="79"/>
      <c r="W22" s="79"/>
      <c r="X22" s="79"/>
      <c r="Y22" s="79"/>
      <c r="Z22" s="79"/>
      <c r="AA22" s="79"/>
      <c r="AB22" s="79"/>
    </row>
    <row r="23" spans="1:28" ht="15.75" customHeight="1">
      <c r="A23" s="62"/>
      <c r="B23" s="62"/>
      <c r="C23" s="62"/>
      <c r="D23" s="79"/>
      <c r="E23" s="119"/>
      <c r="F23" s="182"/>
      <c r="G23" s="163"/>
      <c r="H23" s="183"/>
      <c r="I23" s="163"/>
      <c r="J23" s="176"/>
      <c r="K23" s="184"/>
      <c r="L23" s="178"/>
      <c r="M23" s="178"/>
      <c r="N23" s="220">
        <v>45585</v>
      </c>
      <c r="O23" s="225" t="s">
        <v>142</v>
      </c>
      <c r="P23" s="222">
        <v>75900</v>
      </c>
      <c r="Q23" s="225" t="s">
        <v>1</v>
      </c>
      <c r="R23" s="226" t="s">
        <v>126</v>
      </c>
      <c r="S23" s="224" t="s">
        <v>124</v>
      </c>
      <c r="T23" s="79"/>
      <c r="U23" s="79"/>
      <c r="V23" s="79"/>
      <c r="W23" s="79"/>
      <c r="X23" s="79"/>
      <c r="Y23" s="79"/>
      <c r="Z23" s="79"/>
      <c r="AA23" s="79"/>
      <c r="AB23" s="79"/>
    </row>
    <row r="24" spans="1:28" ht="15.75" customHeight="1">
      <c r="A24" s="62"/>
      <c r="B24" s="62"/>
      <c r="C24" s="62"/>
      <c r="D24" s="79"/>
      <c r="E24" s="119"/>
      <c r="F24" s="182"/>
      <c r="G24" s="186"/>
      <c r="H24" s="183"/>
      <c r="I24" s="186"/>
      <c r="J24" s="187"/>
      <c r="K24" s="184"/>
      <c r="L24" s="178"/>
      <c r="M24" s="178"/>
      <c r="N24" s="220">
        <v>45586</v>
      </c>
      <c r="O24" s="225" t="s">
        <v>143</v>
      </c>
      <c r="P24" s="222">
        <v>20000</v>
      </c>
      <c r="Q24" s="225" t="s">
        <v>2</v>
      </c>
      <c r="R24" s="226" t="s">
        <v>144</v>
      </c>
      <c r="S24" s="224" t="s">
        <v>105</v>
      </c>
      <c r="T24" s="79"/>
      <c r="U24" s="79"/>
      <c r="V24" s="79"/>
      <c r="W24" s="79"/>
      <c r="X24" s="79"/>
      <c r="Y24" s="79"/>
      <c r="Z24" s="79"/>
      <c r="AA24" s="79"/>
      <c r="AB24" s="79"/>
    </row>
    <row r="25" spans="1:28" ht="15.75" customHeight="1">
      <c r="A25" s="62"/>
      <c r="B25" s="62"/>
      <c r="C25" s="62"/>
      <c r="D25" s="79"/>
      <c r="E25" s="119"/>
      <c r="F25" s="182"/>
      <c r="G25" s="163"/>
      <c r="H25" s="183"/>
      <c r="I25" s="163"/>
      <c r="J25" s="176"/>
      <c r="K25" s="184"/>
      <c r="L25" s="178"/>
      <c r="M25" s="178"/>
      <c r="N25" s="220">
        <v>45586</v>
      </c>
      <c r="O25" s="225" t="s">
        <v>145</v>
      </c>
      <c r="P25" s="222">
        <v>37900</v>
      </c>
      <c r="Q25" s="225" t="s">
        <v>2</v>
      </c>
      <c r="R25" s="226" t="s">
        <v>146</v>
      </c>
      <c r="S25" s="224" t="s">
        <v>124</v>
      </c>
      <c r="T25" s="79"/>
      <c r="U25" s="79"/>
      <c r="V25" s="79"/>
      <c r="W25" s="79"/>
      <c r="X25" s="79"/>
      <c r="Y25" s="79"/>
      <c r="Z25" s="79"/>
      <c r="AA25" s="79"/>
      <c r="AB25" s="79"/>
    </row>
    <row r="26" spans="1:28" ht="15.75" customHeight="1">
      <c r="A26" s="62"/>
      <c r="B26" s="62"/>
      <c r="C26" s="62"/>
      <c r="D26" s="79"/>
      <c r="E26" s="119"/>
      <c r="F26" s="182"/>
      <c r="G26" s="181"/>
      <c r="H26" s="183"/>
      <c r="I26" s="181"/>
      <c r="J26" s="185"/>
      <c r="K26" s="184"/>
      <c r="L26" s="178"/>
      <c r="M26" s="178"/>
      <c r="N26" s="220">
        <v>45586</v>
      </c>
      <c r="O26" s="225" t="s">
        <v>147</v>
      </c>
      <c r="P26" s="222">
        <v>18500</v>
      </c>
      <c r="Q26" s="225" t="s">
        <v>1</v>
      </c>
      <c r="R26" s="226" t="s">
        <v>147</v>
      </c>
      <c r="S26" s="224" t="s">
        <v>124</v>
      </c>
      <c r="T26" s="79"/>
      <c r="U26" s="79"/>
      <c r="V26" s="79"/>
      <c r="W26" s="79"/>
      <c r="X26" s="79"/>
      <c r="Y26" s="79"/>
      <c r="Z26" s="79"/>
      <c r="AA26" s="79"/>
      <c r="AB26" s="79"/>
    </row>
    <row r="27" spans="1:28" ht="15.75" customHeight="1">
      <c r="A27" s="62"/>
      <c r="B27" s="62"/>
      <c r="C27" s="62"/>
      <c r="D27" s="79"/>
      <c r="E27" s="119"/>
      <c r="F27" s="182"/>
      <c r="G27" s="163"/>
      <c r="H27" s="183"/>
      <c r="I27" s="163"/>
      <c r="J27" s="176"/>
      <c r="K27" s="184"/>
      <c r="L27" s="178"/>
      <c r="M27" s="178"/>
      <c r="N27" s="220">
        <v>45586</v>
      </c>
      <c r="O27" s="221" t="s">
        <v>148</v>
      </c>
      <c r="P27" s="222">
        <v>46900</v>
      </c>
      <c r="Q27" s="221" t="s">
        <v>1</v>
      </c>
      <c r="R27" s="223" t="s">
        <v>149</v>
      </c>
      <c r="S27" s="224" t="s">
        <v>124</v>
      </c>
      <c r="T27" s="79"/>
      <c r="U27" s="79"/>
      <c r="V27" s="79"/>
      <c r="W27" s="79"/>
      <c r="X27" s="79"/>
      <c r="Y27" s="79"/>
      <c r="Z27" s="79"/>
      <c r="AA27" s="79"/>
      <c r="AB27" s="79"/>
    </row>
    <row r="28" spans="1:28" ht="15.75" customHeight="1">
      <c r="A28" s="62"/>
      <c r="B28" s="62"/>
      <c r="C28" s="62"/>
      <c r="D28" s="79"/>
      <c r="E28" s="119"/>
      <c r="F28" s="182"/>
      <c r="G28" s="186"/>
      <c r="H28" s="183"/>
      <c r="I28" s="186"/>
      <c r="J28" s="187"/>
      <c r="K28" s="184"/>
      <c r="L28" s="178"/>
      <c r="M28" s="178"/>
      <c r="N28" s="220">
        <v>45598</v>
      </c>
      <c r="O28" s="225" t="s">
        <v>150</v>
      </c>
      <c r="P28" s="222">
        <v>55000</v>
      </c>
      <c r="Q28" s="225" t="s">
        <v>2</v>
      </c>
      <c r="R28" s="226" t="s">
        <v>151</v>
      </c>
      <c r="S28" s="224" t="s">
        <v>135</v>
      </c>
      <c r="T28" s="79"/>
      <c r="U28" s="79"/>
      <c r="V28" s="79"/>
      <c r="W28" s="79"/>
      <c r="X28" s="79"/>
      <c r="Y28" s="79"/>
      <c r="Z28" s="79"/>
      <c r="AA28" s="79"/>
      <c r="AB28" s="79"/>
    </row>
    <row r="29" spans="1:28" ht="15.75" customHeight="1">
      <c r="A29" s="62"/>
      <c r="B29" s="62"/>
      <c r="C29" s="62"/>
      <c r="D29" s="79"/>
      <c r="E29" s="119"/>
      <c r="F29" s="182"/>
      <c r="G29" s="163"/>
      <c r="H29" s="183"/>
      <c r="I29" s="163"/>
      <c r="J29" s="176"/>
      <c r="K29" s="184"/>
      <c r="L29" s="178"/>
      <c r="M29" s="178"/>
      <c r="N29" s="220">
        <v>45598</v>
      </c>
      <c r="O29" s="225" t="s">
        <v>152</v>
      </c>
      <c r="P29" s="222">
        <v>80000</v>
      </c>
      <c r="Q29" s="225" t="s">
        <v>2</v>
      </c>
      <c r="R29" s="226" t="s">
        <v>123</v>
      </c>
      <c r="S29" s="224" t="s">
        <v>135</v>
      </c>
      <c r="T29" s="79"/>
      <c r="U29" s="79"/>
      <c r="V29" s="79"/>
      <c r="W29" s="79"/>
      <c r="X29" s="79"/>
      <c r="Y29" s="79"/>
      <c r="Z29" s="79"/>
      <c r="AA29" s="79"/>
      <c r="AB29" s="79"/>
    </row>
    <row r="30" spans="1:28" ht="15.75" customHeight="1">
      <c r="A30" s="62"/>
      <c r="B30" s="62"/>
      <c r="C30" s="62"/>
      <c r="D30" s="79"/>
      <c r="E30" s="119"/>
      <c r="F30" s="182"/>
      <c r="G30" s="181"/>
      <c r="H30" s="183"/>
      <c r="I30" s="181"/>
      <c r="J30" s="185"/>
      <c r="K30" s="184"/>
      <c r="L30" s="178"/>
      <c r="M30" s="178"/>
      <c r="N30" s="220">
        <v>45598</v>
      </c>
      <c r="O30" s="225" t="s">
        <v>153</v>
      </c>
      <c r="P30" s="222">
        <v>105000</v>
      </c>
      <c r="Q30" s="225" t="s">
        <v>2</v>
      </c>
      <c r="R30" s="226" t="s">
        <v>154</v>
      </c>
      <c r="S30" s="224" t="s">
        <v>135</v>
      </c>
      <c r="T30" s="79"/>
      <c r="U30" s="79"/>
      <c r="V30" s="79"/>
      <c r="W30" s="79"/>
      <c r="X30" s="79"/>
      <c r="Y30" s="79"/>
      <c r="Z30" s="79"/>
      <c r="AA30" s="79"/>
      <c r="AB30" s="79"/>
    </row>
    <row r="31" spans="1:28" ht="15.75" customHeight="1">
      <c r="A31" s="62"/>
      <c r="B31" s="62"/>
      <c r="C31" s="62"/>
      <c r="D31" s="79"/>
      <c r="E31" s="119"/>
      <c r="F31" s="182"/>
      <c r="G31" s="163"/>
      <c r="H31" s="183"/>
      <c r="I31" s="163"/>
      <c r="J31" s="176"/>
      <c r="K31" s="184"/>
      <c r="L31" s="178"/>
      <c r="M31" s="178"/>
      <c r="N31" s="220">
        <v>45598</v>
      </c>
      <c r="O31" s="225" t="s">
        <v>155</v>
      </c>
      <c r="P31" s="222">
        <v>20000</v>
      </c>
      <c r="Q31" s="225" t="s">
        <v>2</v>
      </c>
      <c r="R31" s="226" t="s">
        <v>155</v>
      </c>
      <c r="S31" s="224" t="s">
        <v>135</v>
      </c>
      <c r="T31" s="79"/>
      <c r="U31" s="79"/>
      <c r="V31" s="79"/>
      <c r="W31" s="79"/>
      <c r="X31" s="79"/>
      <c r="Y31" s="79"/>
      <c r="Z31" s="79"/>
      <c r="AA31" s="79"/>
      <c r="AB31" s="79"/>
    </row>
    <row r="32" spans="1:28" ht="15.75" customHeight="1">
      <c r="A32" s="62"/>
      <c r="B32" s="62"/>
      <c r="C32" s="62"/>
      <c r="D32" s="79"/>
      <c r="E32" s="119"/>
      <c r="F32" s="182"/>
      <c r="G32" s="186"/>
      <c r="H32" s="183"/>
      <c r="I32" s="186"/>
      <c r="J32" s="187"/>
      <c r="K32" s="184"/>
      <c r="L32" s="178"/>
      <c r="M32" s="178"/>
      <c r="N32" s="220">
        <v>45598</v>
      </c>
      <c r="O32" s="225" t="s">
        <v>156</v>
      </c>
      <c r="P32" s="222">
        <v>12000</v>
      </c>
      <c r="Q32" s="225" t="s">
        <v>2</v>
      </c>
      <c r="R32" s="226" t="s">
        <v>157</v>
      </c>
      <c r="S32" s="224" t="s">
        <v>135</v>
      </c>
      <c r="T32" s="79"/>
      <c r="U32" s="79"/>
      <c r="V32" s="79"/>
      <c r="W32" s="79"/>
      <c r="X32" s="79"/>
      <c r="Y32" s="79"/>
      <c r="Z32" s="79"/>
      <c r="AA32" s="79"/>
      <c r="AB32" s="79"/>
    </row>
    <row r="33" spans="1:28" ht="15.75" customHeight="1">
      <c r="A33" s="62"/>
      <c r="B33" s="62"/>
      <c r="C33" s="62"/>
      <c r="D33" s="79"/>
      <c r="E33" s="119"/>
      <c r="F33" s="182"/>
      <c r="G33" s="186"/>
      <c r="H33" s="183"/>
      <c r="I33" s="186"/>
      <c r="J33" s="187"/>
      <c r="K33" s="184"/>
      <c r="L33" s="178"/>
      <c r="M33" s="178"/>
      <c r="N33" s="220">
        <v>45598</v>
      </c>
      <c r="O33" s="225" t="s">
        <v>158</v>
      </c>
      <c r="P33" s="222">
        <v>20000</v>
      </c>
      <c r="Q33" s="225" t="s">
        <v>2</v>
      </c>
      <c r="R33" s="226" t="s">
        <v>159</v>
      </c>
      <c r="S33" s="224" t="s">
        <v>135</v>
      </c>
      <c r="T33" s="79"/>
      <c r="U33" s="79"/>
      <c r="V33" s="79"/>
      <c r="W33" s="79"/>
      <c r="X33" s="79"/>
      <c r="Y33" s="79"/>
      <c r="Z33" s="79"/>
      <c r="AA33" s="79"/>
      <c r="AB33" s="79"/>
    </row>
    <row r="34" spans="1:28" ht="15.75" customHeight="1">
      <c r="A34" s="62"/>
      <c r="B34" s="62"/>
      <c r="C34" s="62"/>
      <c r="D34" s="79"/>
      <c r="E34" s="119"/>
      <c r="F34" s="182"/>
      <c r="G34" s="163"/>
      <c r="H34" s="183"/>
      <c r="I34" s="163"/>
      <c r="J34" s="176"/>
      <c r="K34" s="184"/>
      <c r="L34" s="178"/>
      <c r="M34" s="178"/>
      <c r="N34" s="220">
        <v>45598</v>
      </c>
      <c r="O34" s="221" t="s">
        <v>160</v>
      </c>
      <c r="P34" s="222">
        <v>10000</v>
      </c>
      <c r="Q34" s="221" t="s">
        <v>2</v>
      </c>
      <c r="R34" s="223" t="s">
        <v>159</v>
      </c>
      <c r="S34" s="224" t="s">
        <v>135</v>
      </c>
      <c r="T34" s="79"/>
      <c r="U34" s="79"/>
      <c r="V34" s="79"/>
      <c r="W34" s="79"/>
      <c r="X34" s="79"/>
      <c r="Y34" s="79"/>
      <c r="Z34" s="79"/>
      <c r="AA34" s="79"/>
      <c r="AB34" s="79"/>
    </row>
    <row r="35" spans="1:28" ht="15.75" customHeight="1">
      <c r="A35" s="62"/>
      <c r="B35" s="62"/>
      <c r="C35" s="62"/>
      <c r="D35" s="79"/>
      <c r="E35" s="119"/>
      <c r="F35" s="182"/>
      <c r="G35" s="181"/>
      <c r="H35" s="183"/>
      <c r="I35" s="181"/>
      <c r="J35" s="185"/>
      <c r="K35" s="184"/>
      <c r="L35" s="178"/>
      <c r="M35" s="178"/>
      <c r="N35" s="220">
        <v>45598</v>
      </c>
      <c r="O35" s="225" t="s">
        <v>138</v>
      </c>
      <c r="P35" s="222">
        <v>7000</v>
      </c>
      <c r="Q35" s="225" t="s">
        <v>2</v>
      </c>
      <c r="R35" s="226" t="s">
        <v>161</v>
      </c>
      <c r="S35" s="224" t="s">
        <v>135</v>
      </c>
      <c r="T35" s="79"/>
      <c r="U35" s="79"/>
      <c r="V35" s="79"/>
      <c r="W35" s="79"/>
      <c r="X35" s="79"/>
      <c r="Y35" s="79"/>
      <c r="Z35" s="79"/>
      <c r="AA35" s="79"/>
      <c r="AB35" s="79"/>
    </row>
    <row r="36" spans="1:28" ht="15.75" customHeight="1">
      <c r="A36" s="62"/>
      <c r="B36" s="62"/>
      <c r="C36" s="62"/>
      <c r="D36" s="79"/>
      <c r="E36" s="119"/>
      <c r="F36" s="182"/>
      <c r="G36" s="163"/>
      <c r="H36" s="183"/>
      <c r="I36" s="163"/>
      <c r="J36" s="176"/>
      <c r="K36" s="184"/>
      <c r="L36" s="178"/>
      <c r="M36" s="178"/>
      <c r="N36" s="220">
        <v>45598</v>
      </c>
      <c r="O36" s="225" t="s">
        <v>162</v>
      </c>
      <c r="P36" s="222">
        <v>10000</v>
      </c>
      <c r="Q36" s="225" t="s">
        <v>2</v>
      </c>
      <c r="R36" s="226" t="s">
        <v>163</v>
      </c>
      <c r="S36" s="224" t="s">
        <v>135</v>
      </c>
      <c r="T36" s="79"/>
      <c r="U36" s="79"/>
      <c r="V36" s="79"/>
      <c r="W36" s="79"/>
      <c r="X36" s="79"/>
      <c r="Y36" s="79"/>
      <c r="Z36" s="79"/>
      <c r="AA36" s="79"/>
      <c r="AB36" s="79"/>
    </row>
    <row r="37" spans="1:28" ht="15.75" customHeight="1">
      <c r="A37" s="62"/>
      <c r="B37" s="62"/>
      <c r="C37" s="62"/>
      <c r="D37" s="79"/>
      <c r="E37" s="119"/>
      <c r="F37" s="182"/>
      <c r="G37" s="186"/>
      <c r="H37" s="183"/>
      <c r="I37" s="186"/>
      <c r="J37" s="187"/>
      <c r="K37" s="184"/>
      <c r="L37" s="178"/>
      <c r="M37" s="178"/>
      <c r="N37" s="220">
        <v>45598</v>
      </c>
      <c r="O37" s="225" t="s">
        <v>164</v>
      </c>
      <c r="P37" s="222">
        <v>10000</v>
      </c>
      <c r="Q37" s="225" t="s">
        <v>2</v>
      </c>
      <c r="R37" s="226" t="s">
        <v>163</v>
      </c>
      <c r="S37" s="224" t="s">
        <v>135</v>
      </c>
    </row>
    <row r="38" spans="1:28" ht="15.75" customHeight="1">
      <c r="A38" s="62"/>
      <c r="B38" s="62"/>
      <c r="C38" s="62"/>
      <c r="D38" s="79"/>
      <c r="E38" s="119"/>
      <c r="F38" s="182"/>
      <c r="G38" s="163"/>
      <c r="H38" s="183"/>
      <c r="I38" s="163"/>
      <c r="J38" s="176"/>
      <c r="K38" s="184"/>
      <c r="L38" s="178"/>
      <c r="M38" s="178"/>
      <c r="N38" s="220">
        <v>45598</v>
      </c>
      <c r="O38" s="225" t="s">
        <v>165</v>
      </c>
      <c r="P38" s="222">
        <v>3000</v>
      </c>
      <c r="Q38" s="225" t="s">
        <v>2</v>
      </c>
      <c r="R38" s="226" t="s">
        <v>163</v>
      </c>
      <c r="S38" s="224" t="s">
        <v>135</v>
      </c>
    </row>
    <row r="39" spans="1:28" ht="15.75" customHeight="1">
      <c r="A39" s="62"/>
      <c r="B39" s="62"/>
      <c r="C39" s="62"/>
      <c r="D39" s="79"/>
      <c r="E39" s="119"/>
      <c r="F39" s="182"/>
      <c r="G39" s="186"/>
      <c r="H39" s="183"/>
      <c r="I39" s="186"/>
      <c r="J39" s="187"/>
      <c r="K39" s="184"/>
      <c r="L39" s="180"/>
      <c r="M39" s="180"/>
      <c r="N39" s="220">
        <v>45598</v>
      </c>
      <c r="O39" s="225" t="s">
        <v>166</v>
      </c>
      <c r="P39" s="222">
        <v>10000</v>
      </c>
      <c r="Q39" s="225" t="s">
        <v>2</v>
      </c>
      <c r="R39" s="226" t="s">
        <v>163</v>
      </c>
      <c r="S39" s="224" t="s">
        <v>135</v>
      </c>
      <c r="T39" s="180"/>
    </row>
    <row r="40" spans="1:28" ht="15.75" customHeight="1">
      <c r="A40" s="62"/>
      <c r="B40" s="62"/>
      <c r="C40" s="62"/>
      <c r="D40" s="79"/>
      <c r="E40" s="119"/>
      <c r="F40" s="182"/>
      <c r="G40" s="186"/>
      <c r="H40" s="183"/>
      <c r="I40" s="186"/>
      <c r="J40" s="187"/>
      <c r="K40" s="184"/>
      <c r="L40" s="180"/>
      <c r="M40" s="180"/>
      <c r="N40" s="220">
        <v>45598</v>
      </c>
      <c r="O40" s="221" t="s">
        <v>167</v>
      </c>
      <c r="P40" s="222">
        <v>3000</v>
      </c>
      <c r="Q40" s="221" t="s">
        <v>2</v>
      </c>
      <c r="R40" s="223" t="s">
        <v>159</v>
      </c>
      <c r="S40" s="224" t="s">
        <v>135</v>
      </c>
      <c r="T40" s="180"/>
    </row>
    <row r="41" spans="1:28" ht="15.75" customHeight="1">
      <c r="A41" s="62"/>
      <c r="B41" s="62"/>
      <c r="C41" s="62"/>
      <c r="D41" s="79"/>
      <c r="E41" s="119"/>
      <c r="F41" s="182"/>
      <c r="G41" s="163"/>
      <c r="H41" s="183"/>
      <c r="I41" s="163"/>
      <c r="J41" s="176"/>
      <c r="K41" s="184"/>
      <c r="L41" s="180"/>
      <c r="M41" s="180"/>
      <c r="N41" s="220">
        <v>45599</v>
      </c>
      <c r="O41" s="225" t="s">
        <v>168</v>
      </c>
      <c r="P41" s="222">
        <v>20000</v>
      </c>
      <c r="Q41" s="225" t="s">
        <v>32</v>
      </c>
      <c r="R41" s="226" t="s">
        <v>161</v>
      </c>
      <c r="S41" s="224" t="s">
        <v>169</v>
      </c>
      <c r="T41" s="180"/>
    </row>
    <row r="42" spans="1:28" ht="15.75" customHeight="1">
      <c r="A42" s="62"/>
      <c r="B42" s="62"/>
      <c r="C42" s="62"/>
      <c r="D42" s="79"/>
      <c r="E42" s="130"/>
      <c r="F42" s="182"/>
      <c r="G42" s="181"/>
      <c r="H42" s="183"/>
      <c r="I42" s="181"/>
      <c r="J42" s="185"/>
      <c r="K42" s="184"/>
      <c r="L42" s="180"/>
      <c r="M42" s="180"/>
      <c r="N42" s="220">
        <v>45604</v>
      </c>
      <c r="O42" s="225" t="s">
        <v>170</v>
      </c>
      <c r="P42" s="222">
        <v>15000</v>
      </c>
      <c r="Q42" s="225" t="s">
        <v>32</v>
      </c>
      <c r="R42" s="226" t="s">
        <v>161</v>
      </c>
      <c r="S42" s="224" t="s">
        <v>170</v>
      </c>
      <c r="T42" s="180"/>
    </row>
    <row r="43" spans="1:28" ht="15.75" customHeight="1">
      <c r="A43" s="62"/>
      <c r="B43" s="62"/>
      <c r="C43" s="62"/>
      <c r="D43" s="79"/>
      <c r="E43" s="86"/>
      <c r="F43" s="182"/>
      <c r="G43" s="163"/>
      <c r="H43" s="183"/>
      <c r="I43" s="163"/>
      <c r="J43" s="176"/>
      <c r="K43" s="184"/>
      <c r="L43" s="180"/>
      <c r="M43" s="180"/>
      <c r="N43" s="220">
        <v>45604</v>
      </c>
      <c r="O43" s="225" t="s">
        <v>173</v>
      </c>
      <c r="P43" s="222">
        <v>500000</v>
      </c>
      <c r="Q43" s="225" t="s">
        <v>4</v>
      </c>
      <c r="R43" s="226" t="s">
        <v>171</v>
      </c>
      <c r="S43" s="224" t="s">
        <v>172</v>
      </c>
      <c r="T43" s="180"/>
    </row>
    <row r="44" spans="1:28" ht="15.75" customHeight="1">
      <c r="A44" s="62"/>
      <c r="B44" s="62"/>
      <c r="C44" s="62"/>
      <c r="D44" s="79"/>
      <c r="E44" s="86"/>
      <c r="F44" s="182"/>
      <c r="G44" s="186"/>
      <c r="H44" s="183"/>
      <c r="I44" s="186"/>
      <c r="J44" s="187"/>
      <c r="K44" s="184"/>
      <c r="L44" s="180"/>
      <c r="M44" s="180"/>
      <c r="N44" s="220">
        <v>45604</v>
      </c>
      <c r="O44" s="225" t="s">
        <v>175</v>
      </c>
      <c r="P44" s="222">
        <v>37000</v>
      </c>
      <c r="Q44" s="225" t="s">
        <v>32</v>
      </c>
      <c r="R44" s="226" t="s">
        <v>161</v>
      </c>
      <c r="S44" s="224" t="s">
        <v>174</v>
      </c>
      <c r="T44" s="180"/>
    </row>
    <row r="45" spans="1:28" ht="15.75" customHeight="1">
      <c r="D45" s="79"/>
      <c r="E45" s="86"/>
      <c r="F45" s="182"/>
      <c r="G45" s="163"/>
      <c r="H45" s="183"/>
      <c r="I45" s="163"/>
      <c r="J45" s="176"/>
      <c r="K45" s="184"/>
      <c r="L45" s="180"/>
      <c r="M45" s="180"/>
      <c r="N45" s="220">
        <v>45605</v>
      </c>
      <c r="O45" s="225" t="s">
        <v>176</v>
      </c>
      <c r="P45" s="222">
        <v>22000</v>
      </c>
      <c r="Q45" s="225" t="s">
        <v>32</v>
      </c>
      <c r="R45" s="226" t="s">
        <v>161</v>
      </c>
      <c r="S45" s="224" t="s">
        <v>174</v>
      </c>
      <c r="T45" s="180"/>
    </row>
    <row r="46" spans="1:28" ht="15.75" customHeight="1">
      <c r="D46" s="79"/>
      <c r="E46" s="86"/>
      <c r="F46" s="182"/>
      <c r="G46" s="186"/>
      <c r="H46" s="183"/>
      <c r="I46" s="186"/>
      <c r="J46" s="187"/>
      <c r="K46" s="184"/>
      <c r="L46" s="180"/>
      <c r="M46" s="180"/>
      <c r="N46" s="220">
        <v>45605</v>
      </c>
      <c r="O46" s="225" t="s">
        <v>177</v>
      </c>
      <c r="P46" s="222">
        <v>16000</v>
      </c>
      <c r="Q46" s="225" t="s">
        <v>32</v>
      </c>
      <c r="R46" s="226" t="s">
        <v>161</v>
      </c>
      <c r="S46" s="224" t="s">
        <v>178</v>
      </c>
      <c r="T46" s="180"/>
    </row>
    <row r="47" spans="1:28" ht="15.75" customHeight="1">
      <c r="F47" s="182"/>
      <c r="G47" s="163"/>
      <c r="H47" s="183"/>
      <c r="I47" s="163"/>
      <c r="J47" s="176"/>
      <c r="K47" s="184"/>
      <c r="L47" s="180"/>
      <c r="M47" s="180"/>
      <c r="N47" s="220">
        <v>45606</v>
      </c>
      <c r="O47" s="225" t="s">
        <v>179</v>
      </c>
      <c r="P47" s="222">
        <v>30000</v>
      </c>
      <c r="Q47" s="225" t="s">
        <v>32</v>
      </c>
      <c r="R47" s="226" t="s">
        <v>161</v>
      </c>
      <c r="S47" s="224" t="s">
        <v>180</v>
      </c>
      <c r="T47" s="180"/>
    </row>
    <row r="48" spans="1:28" ht="15.75" customHeight="1">
      <c r="F48" s="182"/>
      <c r="G48" s="181"/>
      <c r="H48" s="183"/>
      <c r="I48" s="181"/>
      <c r="J48" s="185"/>
      <c r="K48" s="184"/>
      <c r="L48" s="180"/>
      <c r="M48" s="180"/>
      <c r="N48" s="182">
        <v>45606</v>
      </c>
      <c r="O48" s="181" t="s">
        <v>181</v>
      </c>
      <c r="P48" s="183">
        <v>18000</v>
      </c>
      <c r="Q48" s="181" t="s">
        <v>32</v>
      </c>
      <c r="R48" s="185" t="s">
        <v>161</v>
      </c>
      <c r="S48" s="184" t="s">
        <v>182</v>
      </c>
      <c r="T48" s="180"/>
    </row>
    <row r="49" spans="6:20" ht="15.75" customHeight="1">
      <c r="F49" s="182"/>
      <c r="G49" s="163"/>
      <c r="H49" s="183"/>
      <c r="I49" s="163"/>
      <c r="J49" s="176"/>
      <c r="K49" s="184"/>
      <c r="L49" s="180"/>
      <c r="M49" s="180"/>
      <c r="N49" s="220">
        <v>45606</v>
      </c>
      <c r="O49" s="225" t="s">
        <v>184</v>
      </c>
      <c r="P49" s="222">
        <v>25000</v>
      </c>
      <c r="Q49" s="225" t="s">
        <v>32</v>
      </c>
      <c r="R49" s="226" t="s">
        <v>183</v>
      </c>
      <c r="S49" s="224" t="s">
        <v>185</v>
      </c>
      <c r="T49" s="180"/>
    </row>
    <row r="50" spans="6:20" ht="15.75" customHeight="1">
      <c r="F50" s="182"/>
      <c r="G50" s="186"/>
      <c r="H50" s="183"/>
      <c r="I50" s="186"/>
      <c r="J50" s="187"/>
      <c r="K50" s="184"/>
      <c r="L50" s="180"/>
      <c r="M50" s="180"/>
      <c r="N50" s="220">
        <v>45608</v>
      </c>
      <c r="O50" s="225" t="s">
        <v>186</v>
      </c>
      <c r="P50" s="222">
        <v>21000</v>
      </c>
      <c r="Q50" s="225" t="s">
        <v>1</v>
      </c>
      <c r="R50" s="226" t="s">
        <v>161</v>
      </c>
      <c r="S50" s="224" t="s">
        <v>187</v>
      </c>
      <c r="T50" s="180"/>
    </row>
    <row r="51" spans="6:20" ht="15.75" customHeight="1">
      <c r="F51" s="182"/>
      <c r="G51" s="163"/>
      <c r="H51" s="183"/>
      <c r="I51" s="163"/>
      <c r="J51" s="176"/>
      <c r="K51" s="184"/>
      <c r="L51" s="180"/>
      <c r="M51" s="180"/>
      <c r="N51" s="220">
        <v>45608</v>
      </c>
      <c r="O51" s="225" t="s">
        <v>188</v>
      </c>
      <c r="P51" s="222">
        <v>110000</v>
      </c>
      <c r="Q51" s="225" t="s">
        <v>2</v>
      </c>
      <c r="R51" s="226" t="s">
        <v>154</v>
      </c>
      <c r="S51" s="224" t="s">
        <v>135</v>
      </c>
      <c r="T51" s="180"/>
    </row>
    <row r="52" spans="6:20" ht="15.75" customHeight="1">
      <c r="F52" s="182"/>
      <c r="G52" s="186"/>
      <c r="H52" s="183"/>
      <c r="I52" s="186"/>
      <c r="J52" s="187"/>
      <c r="K52" s="184"/>
      <c r="L52" s="180"/>
      <c r="M52" s="180"/>
      <c r="N52" s="220">
        <v>45608</v>
      </c>
      <c r="O52" s="225" t="s">
        <v>189</v>
      </c>
      <c r="P52" s="222">
        <v>12000</v>
      </c>
      <c r="Q52" s="225" t="s">
        <v>2</v>
      </c>
      <c r="R52" s="226" t="s">
        <v>163</v>
      </c>
      <c r="S52" s="224" t="s">
        <v>135</v>
      </c>
      <c r="T52" s="180"/>
    </row>
    <row r="53" spans="6:20" ht="15.75" customHeight="1">
      <c r="F53" s="182"/>
      <c r="G53" s="163"/>
      <c r="H53" s="183"/>
      <c r="I53" s="163"/>
      <c r="J53" s="176"/>
      <c r="K53" s="184"/>
      <c r="L53" s="180"/>
      <c r="M53" s="180"/>
      <c r="N53" s="220">
        <v>45608</v>
      </c>
      <c r="O53" s="225" t="s">
        <v>190</v>
      </c>
      <c r="P53" s="222">
        <v>30000</v>
      </c>
      <c r="Q53" s="225" t="s">
        <v>2</v>
      </c>
      <c r="R53" s="226" t="s">
        <v>190</v>
      </c>
      <c r="S53" s="224" t="s">
        <v>135</v>
      </c>
      <c r="T53" s="180"/>
    </row>
    <row r="54" spans="6:20" ht="15.75" customHeight="1">
      <c r="F54" s="182"/>
      <c r="G54" s="186"/>
      <c r="H54" s="183"/>
      <c r="I54" s="186"/>
      <c r="J54" s="187"/>
      <c r="K54" s="184"/>
      <c r="L54" s="180"/>
      <c r="M54" s="180"/>
      <c r="N54" s="220">
        <v>45608</v>
      </c>
      <c r="O54" s="225" t="s">
        <v>156</v>
      </c>
      <c r="P54" s="222">
        <v>10000</v>
      </c>
      <c r="Q54" s="225" t="s">
        <v>2</v>
      </c>
      <c r="R54" s="226" t="s">
        <v>156</v>
      </c>
      <c r="S54" s="224" t="s">
        <v>135</v>
      </c>
      <c r="T54" s="180"/>
    </row>
    <row r="55" spans="6:20" ht="15.75" customHeight="1">
      <c r="F55" s="182"/>
      <c r="G55" s="163"/>
      <c r="H55" s="183"/>
      <c r="I55" s="163"/>
      <c r="J55" s="176"/>
      <c r="K55" s="184"/>
      <c r="L55" s="180"/>
      <c r="M55" s="180"/>
      <c r="N55" s="220">
        <v>45608</v>
      </c>
      <c r="O55" s="221" t="s">
        <v>138</v>
      </c>
      <c r="P55" s="222">
        <v>5000</v>
      </c>
      <c r="Q55" s="221" t="s">
        <v>2</v>
      </c>
      <c r="R55" s="223" t="s">
        <v>161</v>
      </c>
      <c r="S55" s="224" t="s">
        <v>135</v>
      </c>
      <c r="T55" s="180"/>
    </row>
    <row r="56" spans="6:20" ht="15.75" customHeight="1">
      <c r="F56" s="182"/>
      <c r="G56" s="181"/>
      <c r="H56" s="183"/>
      <c r="I56" s="181"/>
      <c r="J56" s="185"/>
      <c r="K56" s="184"/>
      <c r="L56" s="180"/>
      <c r="M56" s="180"/>
      <c r="N56" s="220">
        <v>45608</v>
      </c>
      <c r="O56" s="225" t="s">
        <v>191</v>
      </c>
      <c r="P56" s="222">
        <v>12000</v>
      </c>
      <c r="Q56" s="225" t="s">
        <v>2</v>
      </c>
      <c r="R56" s="226" t="s">
        <v>161</v>
      </c>
      <c r="S56" s="224" t="s">
        <v>135</v>
      </c>
      <c r="T56" s="180"/>
    </row>
    <row r="57" spans="6:20" ht="15.75" customHeight="1">
      <c r="F57" s="182"/>
      <c r="G57" s="163"/>
      <c r="H57" s="183"/>
      <c r="I57" s="163"/>
      <c r="J57" s="176"/>
      <c r="K57" s="184"/>
      <c r="L57" s="180"/>
      <c r="M57" s="180"/>
      <c r="N57" s="220">
        <v>45608</v>
      </c>
      <c r="O57" s="225" t="s">
        <v>192</v>
      </c>
      <c r="P57" s="222">
        <v>13000</v>
      </c>
      <c r="Q57" s="225" t="s">
        <v>2</v>
      </c>
      <c r="R57" s="226" t="s">
        <v>161</v>
      </c>
      <c r="S57" s="224" t="s">
        <v>135</v>
      </c>
      <c r="T57" s="180"/>
    </row>
    <row r="58" spans="6:20" ht="15.75" customHeight="1">
      <c r="F58" s="182"/>
      <c r="G58" s="186"/>
      <c r="H58" s="183"/>
      <c r="I58" s="186"/>
      <c r="J58" s="187"/>
      <c r="K58" s="184"/>
      <c r="L58" s="180"/>
      <c r="M58" s="180"/>
      <c r="N58" s="220">
        <v>45608</v>
      </c>
      <c r="O58" s="225" t="s">
        <v>193</v>
      </c>
      <c r="P58" s="222">
        <v>10000</v>
      </c>
      <c r="Q58" s="225" t="s">
        <v>194</v>
      </c>
      <c r="R58" s="226" t="s">
        <v>161</v>
      </c>
      <c r="S58" s="224" t="s">
        <v>135</v>
      </c>
      <c r="T58" s="180"/>
    </row>
    <row r="59" spans="6:20" ht="15.75" customHeight="1">
      <c r="F59" s="182"/>
      <c r="G59" s="163"/>
      <c r="H59" s="183"/>
      <c r="I59" s="163"/>
      <c r="J59" s="176"/>
      <c r="K59" s="184"/>
      <c r="L59" s="180"/>
      <c r="M59" s="180"/>
      <c r="N59" s="220">
        <v>45608</v>
      </c>
      <c r="O59" s="225" t="s">
        <v>195</v>
      </c>
      <c r="P59" s="222">
        <v>10000</v>
      </c>
      <c r="Q59" s="225" t="s">
        <v>194</v>
      </c>
      <c r="R59" s="226" t="s">
        <v>161</v>
      </c>
      <c r="S59" s="224" t="s">
        <v>135</v>
      </c>
      <c r="T59" s="180"/>
    </row>
    <row r="60" spans="6:20" ht="15.75" customHeight="1">
      <c r="F60" s="182"/>
      <c r="G60" s="186"/>
      <c r="H60" s="183"/>
      <c r="I60" s="186"/>
      <c r="J60" s="187"/>
      <c r="K60" s="184"/>
      <c r="L60" s="180"/>
      <c r="M60" s="180"/>
      <c r="N60" s="220">
        <v>45610</v>
      </c>
      <c r="O60" s="225" t="s">
        <v>196</v>
      </c>
      <c r="P60" s="222">
        <v>38900</v>
      </c>
      <c r="Q60" s="225" t="s">
        <v>2</v>
      </c>
      <c r="R60" s="226" t="s">
        <v>197</v>
      </c>
      <c r="S60" s="224" t="s">
        <v>2</v>
      </c>
      <c r="T60" s="180"/>
    </row>
    <row r="61" spans="6:20" ht="15.75" customHeight="1">
      <c r="F61" s="182"/>
      <c r="G61" s="163"/>
      <c r="H61" s="183"/>
      <c r="I61" s="163"/>
      <c r="J61" s="176"/>
      <c r="K61" s="184"/>
      <c r="L61" s="180"/>
      <c r="M61" s="180"/>
      <c r="N61" s="220">
        <v>45610</v>
      </c>
      <c r="O61" s="221" t="s">
        <v>198</v>
      </c>
      <c r="P61" s="222">
        <v>8200</v>
      </c>
      <c r="Q61" s="221" t="s">
        <v>2</v>
      </c>
      <c r="R61" s="223" t="s">
        <v>161</v>
      </c>
      <c r="S61" s="224" t="s">
        <v>124</v>
      </c>
      <c r="T61" s="180"/>
    </row>
    <row r="62" spans="6:20" ht="15.75" customHeight="1">
      <c r="F62" s="182"/>
      <c r="G62" s="181"/>
      <c r="H62" s="183"/>
      <c r="I62" s="181"/>
      <c r="J62" s="185"/>
      <c r="K62" s="184"/>
      <c r="L62" s="180"/>
      <c r="M62" s="180"/>
      <c r="N62" s="220">
        <v>45610</v>
      </c>
      <c r="O62" s="225" t="s">
        <v>199</v>
      </c>
      <c r="P62" s="222">
        <v>16400</v>
      </c>
      <c r="Q62" s="225" t="s">
        <v>2</v>
      </c>
      <c r="R62" s="226" t="s">
        <v>161</v>
      </c>
      <c r="S62" s="224" t="s">
        <v>124</v>
      </c>
      <c r="T62" s="180"/>
    </row>
    <row r="63" spans="6:20" ht="15.75" customHeight="1">
      <c r="F63" s="182"/>
      <c r="G63" s="163"/>
      <c r="H63" s="183"/>
      <c r="I63" s="163"/>
      <c r="J63" s="176"/>
      <c r="K63" s="184"/>
      <c r="L63" s="180"/>
      <c r="M63" s="180"/>
      <c r="N63" s="220">
        <v>45610</v>
      </c>
      <c r="O63" s="225" t="s">
        <v>200</v>
      </c>
      <c r="P63" s="222">
        <v>11900</v>
      </c>
      <c r="Q63" s="225" t="s">
        <v>2</v>
      </c>
      <c r="R63" s="226" t="s">
        <v>201</v>
      </c>
      <c r="S63" s="224" t="s">
        <v>124</v>
      </c>
      <c r="T63" s="180"/>
    </row>
    <row r="64" spans="6:20" ht="15.75" customHeight="1">
      <c r="F64" s="182"/>
      <c r="G64" s="186"/>
      <c r="H64" s="183"/>
      <c r="I64" s="186"/>
      <c r="J64" s="187"/>
      <c r="K64" s="184"/>
      <c r="L64" s="180"/>
      <c r="M64" s="180"/>
      <c r="N64" s="220">
        <v>45610</v>
      </c>
      <c r="O64" s="225"/>
      <c r="P64" s="222"/>
      <c r="Q64" s="225"/>
      <c r="R64" s="226"/>
      <c r="S64" s="224"/>
      <c r="T64" s="180"/>
    </row>
    <row r="65" spans="6:29" ht="15.75" customHeight="1">
      <c r="F65" s="182"/>
      <c r="G65" s="163"/>
      <c r="H65" s="183"/>
      <c r="I65" s="163"/>
      <c r="J65" s="176"/>
      <c r="K65" s="184"/>
      <c r="L65" s="180"/>
      <c r="M65" s="180"/>
      <c r="N65" s="220">
        <v>45610</v>
      </c>
      <c r="O65" s="225" t="s">
        <v>202</v>
      </c>
      <c r="P65" s="222">
        <v>47000</v>
      </c>
      <c r="Q65" s="225" t="s">
        <v>6</v>
      </c>
      <c r="R65" s="226" t="s">
        <v>183</v>
      </c>
      <c r="S65" s="224" t="s">
        <v>185</v>
      </c>
      <c r="T65" s="180"/>
    </row>
    <row r="66" spans="6:29" ht="15.75" customHeight="1">
      <c r="F66" s="182"/>
      <c r="G66" s="186"/>
      <c r="H66" s="183"/>
      <c r="I66" s="186"/>
      <c r="J66" s="187"/>
      <c r="K66" s="184"/>
      <c r="L66" s="180"/>
      <c r="M66" s="180"/>
      <c r="N66" s="220">
        <v>45610</v>
      </c>
      <c r="O66" s="225"/>
      <c r="P66" s="222"/>
      <c r="Q66" s="225"/>
      <c r="R66" s="226"/>
      <c r="S66" s="224"/>
      <c r="T66" s="180"/>
      <c r="U66" s="180"/>
      <c r="V66" s="180"/>
      <c r="W66" s="180"/>
      <c r="X66" s="180"/>
      <c r="Y66" s="180"/>
      <c r="Z66" s="180"/>
      <c r="AA66" s="180"/>
      <c r="AB66" s="180"/>
      <c r="AC66" s="180"/>
    </row>
    <row r="67" spans="6:29" ht="15.75" customHeight="1">
      <c r="F67" s="182"/>
      <c r="G67" s="163"/>
      <c r="H67" s="183"/>
      <c r="I67" s="163"/>
      <c r="J67" s="176"/>
      <c r="K67" s="184"/>
      <c r="L67" s="180"/>
      <c r="M67" s="180"/>
      <c r="N67" s="220">
        <v>45610</v>
      </c>
      <c r="O67" s="225" t="s">
        <v>203</v>
      </c>
      <c r="P67" s="222">
        <v>15000</v>
      </c>
      <c r="Q67" s="225" t="s">
        <v>6</v>
      </c>
      <c r="R67" s="226" t="s">
        <v>183</v>
      </c>
      <c r="S67" s="224" t="s">
        <v>185</v>
      </c>
      <c r="T67" s="180"/>
      <c r="U67" s="180"/>
      <c r="V67" s="180"/>
      <c r="W67" s="180"/>
      <c r="X67" s="180"/>
      <c r="Y67" s="180"/>
      <c r="Z67" s="180"/>
      <c r="AA67" s="180"/>
      <c r="AB67" s="180"/>
      <c r="AC67" s="180"/>
    </row>
    <row r="68" spans="6:29" ht="15.75" customHeight="1">
      <c r="F68" s="182"/>
      <c r="G68" s="181"/>
      <c r="H68" s="183"/>
      <c r="I68" s="181"/>
      <c r="J68" s="185"/>
      <c r="K68" s="184"/>
      <c r="L68" s="180"/>
      <c r="M68" s="180"/>
      <c r="N68" s="220">
        <v>45611</v>
      </c>
      <c r="O68" s="221" t="s">
        <v>231</v>
      </c>
      <c r="P68" s="222">
        <v>6200</v>
      </c>
      <c r="Q68" s="221" t="s">
        <v>6</v>
      </c>
      <c r="R68" s="223" t="s">
        <v>204</v>
      </c>
      <c r="S68" s="224" t="s">
        <v>124</v>
      </c>
      <c r="T68" s="180"/>
      <c r="U68" s="180"/>
      <c r="V68" s="180"/>
      <c r="W68" s="180"/>
      <c r="X68" s="180"/>
      <c r="Y68" s="180"/>
      <c r="Z68" s="180"/>
      <c r="AA68" s="180"/>
      <c r="AB68" s="180"/>
      <c r="AC68" s="180"/>
    </row>
    <row r="69" spans="6:29" ht="15.75" customHeight="1">
      <c r="F69" s="182"/>
      <c r="G69" s="163"/>
      <c r="H69" s="183"/>
      <c r="I69" s="163"/>
      <c r="J69" s="176"/>
      <c r="K69" s="184"/>
      <c r="L69" s="180"/>
      <c r="M69" s="180"/>
      <c r="N69" s="220">
        <v>45611</v>
      </c>
      <c r="O69" s="225" t="s">
        <v>206</v>
      </c>
      <c r="P69" s="222">
        <v>24700</v>
      </c>
      <c r="Q69" s="225" t="s">
        <v>6</v>
      </c>
      <c r="R69" s="226" t="s">
        <v>204</v>
      </c>
      <c r="S69" s="224" t="s">
        <v>207</v>
      </c>
      <c r="T69" s="180"/>
      <c r="U69" s="180"/>
      <c r="V69" s="180"/>
      <c r="W69" s="180"/>
      <c r="X69" s="180"/>
      <c r="Y69" s="180"/>
      <c r="Z69" s="180"/>
      <c r="AA69" s="180"/>
      <c r="AB69" s="180"/>
      <c r="AC69" s="180"/>
    </row>
    <row r="70" spans="6:29" ht="15.75" customHeight="1">
      <c r="F70" s="182"/>
      <c r="G70" s="186"/>
      <c r="H70" s="183"/>
      <c r="I70" s="186"/>
      <c r="J70" s="187"/>
      <c r="K70" s="184"/>
      <c r="L70" s="180"/>
      <c r="M70" s="180"/>
      <c r="N70" s="220">
        <v>45611</v>
      </c>
      <c r="O70" s="225" t="s">
        <v>208</v>
      </c>
      <c r="P70" s="222">
        <v>12900</v>
      </c>
      <c r="Q70" s="225" t="s">
        <v>6</v>
      </c>
      <c r="R70" s="226" t="s">
        <v>201</v>
      </c>
      <c r="S70" s="224" t="s">
        <v>205</v>
      </c>
      <c r="T70" s="180"/>
      <c r="U70" s="180"/>
      <c r="V70" s="180"/>
      <c r="W70" s="180"/>
      <c r="X70" s="180"/>
      <c r="Y70" s="180"/>
      <c r="Z70" s="180"/>
      <c r="AA70" s="180"/>
      <c r="AB70" s="180"/>
      <c r="AC70" s="180"/>
    </row>
    <row r="71" spans="6:29" ht="15.75" customHeight="1">
      <c r="F71" s="182"/>
      <c r="G71" s="163"/>
      <c r="H71" s="183"/>
      <c r="I71" s="163"/>
      <c r="J71" s="176"/>
      <c r="K71" s="184"/>
      <c r="L71" s="180"/>
      <c r="M71" s="180"/>
      <c r="N71" s="220">
        <v>45611</v>
      </c>
      <c r="O71" s="225" t="s">
        <v>209</v>
      </c>
      <c r="P71" s="222">
        <v>75900</v>
      </c>
      <c r="Q71" s="225" t="s">
        <v>6</v>
      </c>
      <c r="R71" s="226" t="s">
        <v>126</v>
      </c>
      <c r="S71" s="224" t="s">
        <v>124</v>
      </c>
      <c r="T71" s="180"/>
      <c r="U71" s="180"/>
      <c r="V71" s="180"/>
      <c r="W71" s="180"/>
      <c r="X71" s="180"/>
      <c r="Y71" s="180"/>
      <c r="Z71" s="180"/>
      <c r="AA71" s="180"/>
      <c r="AB71" s="180"/>
      <c r="AC71" s="180"/>
    </row>
    <row r="72" spans="6:29" ht="15.75" customHeight="1">
      <c r="F72" s="182"/>
      <c r="G72" s="186"/>
      <c r="H72" s="183"/>
      <c r="I72" s="186"/>
      <c r="J72" s="187"/>
      <c r="K72" s="184"/>
      <c r="L72" s="180"/>
      <c r="M72" s="180"/>
      <c r="N72" s="220">
        <v>45611</v>
      </c>
      <c r="O72" s="225" t="s">
        <v>170</v>
      </c>
      <c r="P72" s="222">
        <v>10000</v>
      </c>
      <c r="Q72" s="225" t="s">
        <v>3</v>
      </c>
      <c r="R72" s="226" t="s">
        <v>161</v>
      </c>
      <c r="S72" s="224" t="s">
        <v>210</v>
      </c>
      <c r="T72" s="180"/>
      <c r="U72" s="180"/>
      <c r="V72" s="180"/>
      <c r="W72" s="180"/>
      <c r="X72" s="180"/>
      <c r="Y72" s="180"/>
      <c r="Z72" s="180"/>
      <c r="AA72" s="180"/>
      <c r="AB72" s="180"/>
      <c r="AC72" s="180"/>
    </row>
    <row r="73" spans="6:29" ht="15.75" customHeight="1">
      <c r="F73" s="182"/>
      <c r="G73" s="163"/>
      <c r="H73" s="183"/>
      <c r="I73" s="163"/>
      <c r="J73" s="176"/>
      <c r="K73" s="184"/>
      <c r="L73" s="180"/>
      <c r="M73" s="180"/>
      <c r="N73" s="220">
        <v>45612</v>
      </c>
      <c r="O73" s="225" t="s">
        <v>188</v>
      </c>
      <c r="P73" s="222">
        <v>120000</v>
      </c>
      <c r="Q73" s="225" t="s">
        <v>2</v>
      </c>
      <c r="R73" s="226" t="s">
        <v>154</v>
      </c>
      <c r="S73" s="224" t="s">
        <v>135</v>
      </c>
      <c r="T73" s="180"/>
      <c r="U73" s="180"/>
      <c r="V73" s="180"/>
      <c r="W73" s="180"/>
      <c r="X73" s="180"/>
      <c r="Y73" s="180"/>
      <c r="Z73" s="180"/>
      <c r="AA73" s="180"/>
      <c r="AB73" s="180"/>
      <c r="AC73" s="180"/>
    </row>
    <row r="74" spans="6:29" ht="15.75" customHeight="1">
      <c r="F74" s="182"/>
      <c r="G74" s="181"/>
      <c r="H74" s="183"/>
      <c r="I74" s="181"/>
      <c r="J74" s="185"/>
      <c r="K74" s="184"/>
      <c r="L74" s="180"/>
      <c r="M74" s="180"/>
      <c r="N74" s="220">
        <v>45612</v>
      </c>
      <c r="O74" s="221" t="s">
        <v>189</v>
      </c>
      <c r="P74" s="222">
        <v>12000</v>
      </c>
      <c r="Q74" s="221" t="s">
        <v>2</v>
      </c>
      <c r="R74" s="223" t="s">
        <v>161</v>
      </c>
      <c r="S74" s="224" t="s">
        <v>135</v>
      </c>
      <c r="T74" s="180"/>
      <c r="U74" s="180"/>
      <c r="V74" s="180"/>
      <c r="W74" s="180"/>
      <c r="X74" s="180"/>
      <c r="Y74" s="180"/>
      <c r="Z74" s="180"/>
      <c r="AA74" s="180"/>
      <c r="AB74" s="180"/>
      <c r="AC74" s="180"/>
    </row>
    <row r="75" spans="6:29" ht="15.75" customHeight="1">
      <c r="F75" s="182"/>
      <c r="G75" s="163"/>
      <c r="H75" s="183"/>
      <c r="I75" s="163"/>
      <c r="J75" s="176"/>
      <c r="K75" s="184"/>
      <c r="L75" s="180"/>
      <c r="M75" s="180"/>
      <c r="N75" s="220">
        <v>45612</v>
      </c>
      <c r="O75" s="225" t="s">
        <v>137</v>
      </c>
      <c r="P75" s="222">
        <v>55000</v>
      </c>
      <c r="Q75" s="225" t="s">
        <v>2</v>
      </c>
      <c r="R75" s="226" t="s">
        <v>161</v>
      </c>
      <c r="S75" s="224" t="s">
        <v>135</v>
      </c>
      <c r="T75" s="180"/>
      <c r="U75" s="180"/>
      <c r="V75" s="180"/>
      <c r="W75" s="180"/>
      <c r="X75" s="180"/>
      <c r="Y75" s="180"/>
      <c r="Z75" s="180"/>
      <c r="AA75" s="180"/>
      <c r="AB75" s="180"/>
      <c r="AC75" s="180"/>
    </row>
    <row r="76" spans="6:29" ht="15.75" customHeight="1">
      <c r="F76" s="182"/>
      <c r="G76" s="186"/>
      <c r="H76" s="183"/>
      <c r="I76" s="186"/>
      <c r="J76" s="187"/>
      <c r="K76" s="184"/>
      <c r="L76" s="180"/>
      <c r="M76" s="180"/>
      <c r="N76" s="220">
        <v>45612</v>
      </c>
      <c r="O76" s="225" t="s">
        <v>138</v>
      </c>
      <c r="P76" s="222">
        <v>7000</v>
      </c>
      <c r="Q76" s="225" t="s">
        <v>2</v>
      </c>
      <c r="R76" s="226" t="s">
        <v>161</v>
      </c>
      <c r="S76" s="224" t="s">
        <v>135</v>
      </c>
      <c r="T76" s="180"/>
      <c r="U76" s="180"/>
      <c r="V76" s="180"/>
      <c r="W76" s="180"/>
      <c r="X76" s="180"/>
      <c r="Y76" s="180"/>
      <c r="Z76" s="180"/>
      <c r="AA76" s="180"/>
      <c r="AB76" s="180"/>
      <c r="AC76" s="180"/>
    </row>
    <row r="77" spans="6:29" ht="15.75" customHeight="1">
      <c r="F77" s="182"/>
      <c r="G77" s="163"/>
      <c r="H77" s="183"/>
      <c r="I77" s="163"/>
      <c r="J77" s="176"/>
      <c r="K77" s="184"/>
      <c r="L77" s="180"/>
      <c r="M77" s="180"/>
      <c r="N77" s="220">
        <v>45612</v>
      </c>
      <c r="O77" s="225" t="s">
        <v>211</v>
      </c>
      <c r="P77" s="222">
        <v>15000</v>
      </c>
      <c r="Q77" s="225" t="s">
        <v>2</v>
      </c>
      <c r="R77" s="226" t="s">
        <v>201</v>
      </c>
      <c r="S77" s="224" t="s">
        <v>135</v>
      </c>
      <c r="T77" s="180"/>
      <c r="U77" s="180"/>
      <c r="V77" s="180"/>
      <c r="W77" s="180"/>
      <c r="X77" s="180"/>
      <c r="Y77" s="180"/>
      <c r="Z77" s="180"/>
      <c r="AA77" s="180"/>
      <c r="AB77" s="180"/>
      <c r="AC77" s="180"/>
    </row>
    <row r="78" spans="6:29" ht="15.75" customHeight="1">
      <c r="F78" s="182"/>
      <c r="G78" s="186"/>
      <c r="H78" s="183"/>
      <c r="I78" s="186"/>
      <c r="J78" s="187"/>
      <c r="K78" s="184"/>
      <c r="L78" s="180"/>
      <c r="M78" s="180"/>
      <c r="N78" s="220">
        <v>45612</v>
      </c>
      <c r="O78" s="225" t="s">
        <v>212</v>
      </c>
      <c r="P78" s="222">
        <v>10000</v>
      </c>
      <c r="Q78" s="225" t="s">
        <v>2</v>
      </c>
      <c r="R78" s="226" t="s">
        <v>161</v>
      </c>
      <c r="S78" s="224" t="s">
        <v>135</v>
      </c>
      <c r="T78" s="180"/>
      <c r="U78" s="180"/>
      <c r="V78" s="180"/>
      <c r="W78" s="180"/>
      <c r="X78" s="180"/>
      <c r="Y78" s="180"/>
      <c r="Z78" s="180"/>
      <c r="AA78" s="180"/>
      <c r="AB78" s="180"/>
      <c r="AC78" s="180"/>
    </row>
    <row r="79" spans="6:29" ht="15.75" customHeight="1">
      <c r="F79" s="182"/>
      <c r="G79" s="163"/>
      <c r="H79" s="183"/>
      <c r="I79" s="163"/>
      <c r="J79" s="176"/>
      <c r="K79" s="184"/>
      <c r="L79" s="180"/>
      <c r="M79" s="180"/>
      <c r="N79" s="220">
        <v>45612</v>
      </c>
      <c r="O79" s="225" t="s">
        <v>213</v>
      </c>
      <c r="P79" s="222">
        <v>7000</v>
      </c>
      <c r="Q79" s="225" t="s">
        <v>2</v>
      </c>
      <c r="R79" s="226" t="s">
        <v>2</v>
      </c>
      <c r="S79" s="224" t="s">
        <v>135</v>
      </c>
      <c r="T79" s="180"/>
      <c r="U79" s="180"/>
      <c r="V79" s="180"/>
      <c r="W79" s="180"/>
      <c r="X79" s="180"/>
      <c r="Y79" s="180"/>
      <c r="Z79" s="180"/>
      <c r="AA79" s="180"/>
      <c r="AB79" s="180"/>
      <c r="AC79" s="180"/>
    </row>
    <row r="80" spans="6:29" ht="15.75" customHeight="1">
      <c r="F80" s="182"/>
      <c r="G80" s="186"/>
      <c r="H80" s="183"/>
      <c r="I80" s="186"/>
      <c r="J80" s="187"/>
      <c r="K80" s="184"/>
      <c r="L80" s="180"/>
      <c r="M80" s="180"/>
      <c r="N80" s="220">
        <v>45612</v>
      </c>
      <c r="O80" s="225"/>
      <c r="P80" s="222"/>
      <c r="Q80" s="225"/>
      <c r="R80" s="226"/>
      <c r="S80" s="224"/>
      <c r="T80" s="180"/>
      <c r="U80" s="180"/>
      <c r="V80" s="180"/>
      <c r="W80" s="180"/>
      <c r="X80" s="180"/>
      <c r="Y80" s="180"/>
      <c r="Z80" s="180"/>
      <c r="AA80" s="180"/>
      <c r="AB80" s="180"/>
      <c r="AC80" s="180"/>
    </row>
    <row r="81" spans="6:29" ht="15.75" customHeight="1">
      <c r="F81" s="182"/>
      <c r="G81" s="163"/>
      <c r="H81" s="183"/>
      <c r="I81" s="163"/>
      <c r="J81" s="176"/>
      <c r="K81" s="184"/>
      <c r="L81" s="180"/>
      <c r="M81" s="180"/>
      <c r="N81" s="220">
        <v>45612</v>
      </c>
      <c r="O81" s="225" t="s">
        <v>166</v>
      </c>
      <c r="P81" s="222">
        <v>8000</v>
      </c>
      <c r="Q81" s="225" t="s">
        <v>2</v>
      </c>
      <c r="R81" s="226" t="s">
        <v>161</v>
      </c>
      <c r="S81" s="224" t="s">
        <v>135</v>
      </c>
      <c r="T81" s="180"/>
      <c r="U81" s="180"/>
      <c r="V81" s="180"/>
      <c r="W81" s="180"/>
      <c r="X81" s="180"/>
      <c r="Y81" s="180"/>
      <c r="Z81" s="180"/>
      <c r="AA81" s="180"/>
      <c r="AB81" s="180"/>
      <c r="AC81" s="180"/>
    </row>
    <row r="82" spans="6:29" ht="15.75" customHeight="1">
      <c r="F82" s="182"/>
      <c r="G82" s="181"/>
      <c r="H82" s="183"/>
      <c r="I82" s="181"/>
      <c r="J82" s="185"/>
      <c r="K82" s="184"/>
      <c r="L82" s="180"/>
      <c r="M82" s="180"/>
      <c r="N82" s="220">
        <v>45612</v>
      </c>
      <c r="O82" s="221" t="s">
        <v>214</v>
      </c>
      <c r="P82" s="222">
        <v>15000</v>
      </c>
      <c r="Q82" s="221" t="s">
        <v>2</v>
      </c>
      <c r="R82" s="223" t="s">
        <v>105</v>
      </c>
      <c r="S82" s="224" t="s">
        <v>135</v>
      </c>
      <c r="T82" s="180"/>
      <c r="U82" s="180"/>
      <c r="V82" s="180"/>
      <c r="W82" s="180"/>
      <c r="X82" s="180"/>
      <c r="Y82" s="180"/>
      <c r="Z82" s="180"/>
      <c r="AA82" s="180"/>
      <c r="AB82" s="180"/>
      <c r="AC82" s="180"/>
    </row>
    <row r="83" spans="6:29" ht="15.75" customHeight="1">
      <c r="F83" s="182"/>
      <c r="G83" s="163"/>
      <c r="H83" s="183"/>
      <c r="I83" s="163"/>
      <c r="J83" s="176"/>
      <c r="K83" s="184"/>
      <c r="L83" s="180"/>
      <c r="M83" s="180"/>
      <c r="N83" s="220">
        <v>45612</v>
      </c>
      <c r="O83" s="225" t="s">
        <v>215</v>
      </c>
      <c r="P83" s="222">
        <v>12000</v>
      </c>
      <c r="Q83" s="225" t="s">
        <v>2</v>
      </c>
      <c r="R83" s="226" t="s">
        <v>161</v>
      </c>
      <c r="S83" s="224" t="s">
        <v>135</v>
      </c>
      <c r="T83" s="180"/>
      <c r="U83" s="180"/>
      <c r="V83" s="180"/>
      <c r="W83" s="180"/>
      <c r="X83" s="180"/>
      <c r="Y83" s="180"/>
      <c r="Z83" s="180"/>
      <c r="AA83" s="180"/>
      <c r="AB83" s="180"/>
      <c r="AC83" s="180"/>
    </row>
    <row r="84" spans="6:29" ht="15.75" customHeight="1">
      <c r="F84" s="182"/>
      <c r="G84" s="186"/>
      <c r="H84" s="183"/>
      <c r="I84" s="186"/>
      <c r="J84" s="187"/>
      <c r="K84" s="184"/>
      <c r="L84" s="180"/>
      <c r="M84" s="180"/>
      <c r="N84" s="220">
        <v>45613</v>
      </c>
      <c r="O84" s="225" t="s">
        <v>216</v>
      </c>
      <c r="P84" s="222">
        <v>10000</v>
      </c>
      <c r="Q84" s="225" t="s">
        <v>2</v>
      </c>
      <c r="R84" s="226" t="s">
        <v>217</v>
      </c>
      <c r="S84" s="224" t="s">
        <v>218</v>
      </c>
      <c r="T84" s="180"/>
      <c r="U84" s="180"/>
      <c r="V84" s="180"/>
      <c r="W84" s="180"/>
      <c r="X84" s="180"/>
      <c r="Y84" s="180"/>
      <c r="Z84" s="180"/>
      <c r="AA84" s="180"/>
      <c r="AB84" s="180"/>
      <c r="AC84" s="180"/>
    </row>
    <row r="85" spans="6:29" ht="15.75" customHeight="1">
      <c r="F85" s="182"/>
      <c r="G85" s="163"/>
      <c r="H85" s="183"/>
      <c r="I85" s="163"/>
      <c r="J85" s="176"/>
      <c r="K85" s="184"/>
      <c r="L85" s="180"/>
      <c r="M85" s="180"/>
      <c r="N85" s="220">
        <v>45613</v>
      </c>
      <c r="O85" s="225" t="s">
        <v>219</v>
      </c>
      <c r="P85" s="222">
        <v>10000</v>
      </c>
      <c r="Q85" s="225" t="s">
        <v>2</v>
      </c>
      <c r="R85" s="226" t="s">
        <v>183</v>
      </c>
      <c r="S85" s="224" t="s">
        <v>185</v>
      </c>
      <c r="T85" s="180"/>
      <c r="U85" s="180"/>
      <c r="V85" s="180"/>
      <c r="W85" s="180"/>
      <c r="X85" s="180"/>
      <c r="Y85" s="180"/>
      <c r="Z85" s="180"/>
      <c r="AA85" s="180"/>
      <c r="AB85" s="180"/>
      <c r="AC85" s="180"/>
    </row>
    <row r="86" spans="6:29" ht="15.75" customHeight="1">
      <c r="F86" s="182"/>
      <c r="G86" s="186"/>
      <c r="H86" s="183"/>
      <c r="I86" s="186"/>
      <c r="J86" s="187"/>
      <c r="K86" s="184"/>
      <c r="L86" s="180"/>
      <c r="M86" s="180"/>
      <c r="N86" s="220">
        <v>45613</v>
      </c>
      <c r="O86" s="225" t="s">
        <v>179</v>
      </c>
      <c r="P86" s="222">
        <v>30000</v>
      </c>
      <c r="Q86" s="225" t="s">
        <v>2</v>
      </c>
      <c r="R86" s="226" t="s">
        <v>161</v>
      </c>
      <c r="S86" s="224" t="s">
        <v>220</v>
      </c>
      <c r="T86" s="180"/>
      <c r="U86" s="180"/>
      <c r="V86" s="180"/>
      <c r="W86" s="180"/>
      <c r="X86" s="180"/>
      <c r="Y86" s="180"/>
      <c r="Z86" s="180"/>
      <c r="AA86" s="180"/>
      <c r="AB86" s="180"/>
      <c r="AC86" s="180"/>
    </row>
    <row r="87" spans="6:29" ht="15.75" customHeight="1">
      <c r="F87" s="182"/>
      <c r="G87" s="163"/>
      <c r="H87" s="183"/>
      <c r="I87" s="163"/>
      <c r="J87" s="176"/>
      <c r="K87" s="184"/>
      <c r="L87" s="180"/>
      <c r="M87" s="180"/>
      <c r="N87" s="220">
        <v>45613</v>
      </c>
      <c r="O87" s="225" t="s">
        <v>221</v>
      </c>
      <c r="P87" s="222">
        <v>5000</v>
      </c>
      <c r="Q87" s="225" t="s">
        <v>2</v>
      </c>
      <c r="R87" s="226" t="s">
        <v>161</v>
      </c>
      <c r="S87" s="224" t="s">
        <v>210</v>
      </c>
      <c r="T87" s="180"/>
      <c r="U87" s="180"/>
      <c r="V87" s="180"/>
      <c r="W87" s="180"/>
      <c r="X87" s="180"/>
      <c r="Y87" s="180"/>
      <c r="Z87" s="180"/>
      <c r="AA87" s="180"/>
      <c r="AB87" s="180"/>
      <c r="AC87" s="180"/>
    </row>
    <row r="88" spans="6:29" ht="15.75" customHeight="1">
      <c r="F88" s="182"/>
      <c r="G88" s="181"/>
      <c r="H88" s="183"/>
      <c r="I88" s="181"/>
      <c r="J88" s="185"/>
      <c r="K88" s="184"/>
      <c r="L88" s="180"/>
      <c r="M88" s="180"/>
      <c r="N88" s="220">
        <v>45614</v>
      </c>
      <c r="O88" s="221" t="s">
        <v>222</v>
      </c>
      <c r="P88" s="222">
        <v>21700</v>
      </c>
      <c r="Q88" s="221" t="s">
        <v>2</v>
      </c>
      <c r="R88" s="223" t="s">
        <v>2</v>
      </c>
      <c r="S88" s="224" t="s">
        <v>124</v>
      </c>
      <c r="T88" s="180"/>
      <c r="U88" s="180"/>
      <c r="V88" s="180"/>
      <c r="W88" s="180"/>
      <c r="X88" s="180"/>
      <c r="Y88" s="180"/>
      <c r="Z88" s="180"/>
      <c r="AA88" s="180"/>
      <c r="AB88" s="180"/>
      <c r="AC88" s="180"/>
    </row>
    <row r="89" spans="6:29" ht="15.75" customHeight="1">
      <c r="F89" s="182"/>
      <c r="G89" s="163"/>
      <c r="H89" s="183"/>
      <c r="I89" s="163"/>
      <c r="J89" s="176"/>
      <c r="K89" s="184"/>
      <c r="L89" s="180"/>
      <c r="M89" s="180"/>
      <c r="N89" s="220">
        <v>45614</v>
      </c>
      <c r="O89" s="225" t="s">
        <v>223</v>
      </c>
      <c r="P89" s="222">
        <v>3000</v>
      </c>
      <c r="Q89" s="225" t="s">
        <v>2</v>
      </c>
      <c r="R89" s="226" t="s">
        <v>2</v>
      </c>
      <c r="S89" s="224" t="s">
        <v>124</v>
      </c>
      <c r="T89" s="180"/>
      <c r="U89" s="180"/>
      <c r="V89" s="180"/>
      <c r="W89" s="180"/>
      <c r="X89" s="180"/>
      <c r="Y89" s="180"/>
      <c r="Z89" s="180"/>
      <c r="AA89" s="180"/>
      <c r="AB89" s="180"/>
      <c r="AC89" s="180"/>
    </row>
    <row r="90" spans="6:29" ht="15.75" customHeight="1">
      <c r="F90" s="182"/>
      <c r="G90" s="186"/>
      <c r="H90" s="183"/>
      <c r="I90" s="186"/>
      <c r="J90" s="187"/>
      <c r="K90" s="184"/>
      <c r="L90" s="180"/>
      <c r="M90" s="180"/>
      <c r="N90" s="220">
        <v>45614</v>
      </c>
      <c r="O90" s="225" t="s">
        <v>224</v>
      </c>
      <c r="P90" s="222">
        <v>8900</v>
      </c>
      <c r="Q90" s="225" t="s">
        <v>2</v>
      </c>
      <c r="R90" s="226" t="s">
        <v>2</v>
      </c>
      <c r="S90" s="224" t="s">
        <v>124</v>
      </c>
      <c r="T90" s="180"/>
      <c r="U90" s="180"/>
      <c r="V90" s="180"/>
      <c r="W90" s="180"/>
      <c r="X90" s="180"/>
      <c r="Y90" s="180"/>
      <c r="Z90" s="180"/>
      <c r="AA90" s="180"/>
      <c r="AB90" s="180"/>
      <c r="AC90" s="180"/>
    </row>
    <row r="91" spans="6:29" ht="15.75" customHeight="1">
      <c r="F91" s="182"/>
      <c r="G91" s="186"/>
      <c r="H91" s="183"/>
      <c r="I91" s="186"/>
      <c r="J91" s="187"/>
      <c r="K91" s="184"/>
      <c r="L91" s="180"/>
      <c r="M91" s="180"/>
      <c r="N91" s="220">
        <v>45614</v>
      </c>
      <c r="O91" s="225" t="s">
        <v>152</v>
      </c>
      <c r="P91" s="222">
        <v>77000</v>
      </c>
      <c r="Q91" s="225" t="s">
        <v>2</v>
      </c>
      <c r="R91" s="226" t="s">
        <v>123</v>
      </c>
      <c r="S91" s="224" t="s">
        <v>124</v>
      </c>
      <c r="T91" s="180"/>
      <c r="U91" s="180"/>
      <c r="V91" s="180"/>
      <c r="W91" s="180"/>
      <c r="X91" s="180"/>
      <c r="Y91" s="180"/>
      <c r="Z91" s="180"/>
      <c r="AA91" s="180"/>
      <c r="AB91" s="180"/>
      <c r="AC91" s="180"/>
    </row>
    <row r="92" spans="6:29" ht="15.75" customHeight="1">
      <c r="F92" s="182"/>
      <c r="G92" s="163"/>
      <c r="H92" s="183"/>
      <c r="I92" s="163"/>
      <c r="J92" s="176"/>
      <c r="K92" s="184"/>
      <c r="L92" s="180"/>
      <c r="M92" s="180"/>
      <c r="N92" s="220"/>
      <c r="O92" s="225"/>
      <c r="P92" s="222"/>
      <c r="Q92" s="225"/>
      <c r="R92" s="226"/>
      <c r="S92" s="224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</row>
    <row r="93" spans="6:29" ht="15.75" customHeight="1">
      <c r="F93" s="182"/>
      <c r="G93" s="181"/>
      <c r="H93" s="183"/>
      <c r="I93" s="181"/>
      <c r="J93" s="185"/>
      <c r="K93" s="184"/>
      <c r="L93" s="180"/>
      <c r="M93" s="180"/>
      <c r="N93" s="220"/>
      <c r="O93" s="225"/>
      <c r="P93" s="222"/>
      <c r="Q93" s="225"/>
      <c r="R93" s="226"/>
      <c r="S93" s="224"/>
      <c r="T93" s="180"/>
      <c r="U93" s="180"/>
      <c r="V93" s="180"/>
      <c r="W93" s="180"/>
      <c r="X93" s="180"/>
      <c r="Y93" s="180"/>
      <c r="Z93" s="180"/>
      <c r="AA93" s="180"/>
      <c r="AB93" s="180"/>
      <c r="AC93" s="180"/>
    </row>
    <row r="94" spans="6:29" ht="15.75" customHeight="1">
      <c r="F94" s="182"/>
      <c r="G94" s="163"/>
      <c r="H94" s="183"/>
      <c r="I94" s="163"/>
      <c r="J94" s="176"/>
      <c r="K94" s="184"/>
      <c r="L94" s="180"/>
      <c r="M94" s="180"/>
      <c r="N94" s="220"/>
      <c r="O94" s="221"/>
      <c r="P94" s="222"/>
      <c r="Q94" s="221"/>
      <c r="R94" s="223"/>
      <c r="S94" s="224"/>
      <c r="T94" s="180"/>
      <c r="U94" s="180"/>
      <c r="V94" s="180"/>
      <c r="W94" s="180"/>
      <c r="X94" s="180"/>
      <c r="Y94" s="180"/>
      <c r="Z94" s="180"/>
      <c r="AA94" s="180"/>
      <c r="AB94" s="180"/>
      <c r="AC94" s="180"/>
    </row>
    <row r="95" spans="6:29" ht="15.75" customHeight="1">
      <c r="F95" s="182"/>
      <c r="G95" s="186"/>
      <c r="H95" s="183"/>
      <c r="I95" s="186"/>
      <c r="J95" s="187"/>
      <c r="K95" s="184"/>
      <c r="L95" s="180"/>
      <c r="M95" s="180"/>
      <c r="N95" s="220"/>
      <c r="O95" s="225"/>
      <c r="P95" s="222"/>
      <c r="Q95" s="225"/>
      <c r="R95" s="226"/>
      <c r="S95" s="224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</row>
    <row r="96" spans="6:29" ht="15.75" customHeight="1">
      <c r="F96" s="182"/>
      <c r="G96" s="163"/>
      <c r="H96" s="183"/>
      <c r="I96" s="163"/>
      <c r="J96" s="176"/>
      <c r="K96" s="184"/>
      <c r="L96" s="180"/>
      <c r="M96" s="180"/>
      <c r="N96" s="220"/>
      <c r="O96" s="225"/>
      <c r="P96" s="222"/>
      <c r="Q96" s="225"/>
      <c r="R96" s="226"/>
      <c r="S96" s="224"/>
      <c r="T96" s="180"/>
      <c r="U96" s="180"/>
      <c r="V96" s="180"/>
      <c r="W96" s="180"/>
      <c r="X96" s="180"/>
      <c r="Y96" s="180"/>
      <c r="Z96" s="180"/>
      <c r="AA96" s="180"/>
      <c r="AB96" s="180"/>
      <c r="AC96" s="180"/>
    </row>
    <row r="97" spans="6:29" ht="15.75" customHeight="1">
      <c r="F97" s="182"/>
      <c r="G97" s="186"/>
      <c r="H97" s="183"/>
      <c r="I97" s="186"/>
      <c r="J97" s="187"/>
      <c r="K97" s="184"/>
      <c r="L97" s="180"/>
      <c r="M97" s="180"/>
      <c r="N97" s="220"/>
      <c r="O97" s="225"/>
      <c r="P97" s="222"/>
      <c r="Q97" s="225"/>
      <c r="R97" s="226"/>
      <c r="S97" s="224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</row>
    <row r="98" spans="6:29" ht="15.75" customHeight="1">
      <c r="F98" s="182"/>
      <c r="G98" s="163"/>
      <c r="H98" s="183"/>
      <c r="I98" s="163"/>
      <c r="J98" s="176"/>
      <c r="K98" s="184"/>
      <c r="L98" s="180"/>
      <c r="M98" s="180"/>
      <c r="N98" s="220"/>
      <c r="O98" s="225"/>
      <c r="P98" s="222"/>
      <c r="Q98" s="225"/>
      <c r="R98" s="226"/>
      <c r="S98" s="224"/>
      <c r="T98" s="180"/>
      <c r="U98" s="180"/>
      <c r="V98" s="180"/>
      <c r="W98" s="180"/>
      <c r="X98" s="180"/>
      <c r="Y98" s="180"/>
      <c r="Z98" s="180"/>
      <c r="AA98" s="180"/>
      <c r="AB98" s="180"/>
      <c r="AC98" s="180"/>
    </row>
    <row r="99" spans="6:29" ht="15.75" customHeight="1">
      <c r="F99" s="182"/>
      <c r="G99" s="181"/>
      <c r="H99" s="183"/>
      <c r="I99" s="181"/>
      <c r="J99" s="185"/>
      <c r="K99" s="184"/>
      <c r="L99" s="180"/>
      <c r="M99" s="180"/>
      <c r="N99" s="220"/>
      <c r="O99" s="225"/>
      <c r="P99" s="222"/>
      <c r="Q99" s="225"/>
      <c r="R99" s="226"/>
      <c r="S99" s="224"/>
      <c r="T99" s="180"/>
      <c r="U99" s="180"/>
      <c r="V99" s="180"/>
      <c r="W99" s="180"/>
      <c r="X99" s="180"/>
      <c r="Y99" s="180"/>
      <c r="Z99" s="180"/>
      <c r="AA99" s="180"/>
      <c r="AB99" s="180"/>
      <c r="AC99" s="180"/>
    </row>
    <row r="100" spans="6:29" ht="15.75" customHeight="1">
      <c r="F100" s="182"/>
      <c r="G100" s="163"/>
      <c r="H100" s="183"/>
      <c r="I100" s="163"/>
      <c r="J100" s="176"/>
      <c r="K100" s="184"/>
      <c r="L100" s="180"/>
      <c r="M100" s="180"/>
      <c r="N100" s="220"/>
      <c r="O100" s="221"/>
      <c r="P100" s="222"/>
      <c r="Q100" s="221"/>
      <c r="R100" s="223"/>
      <c r="S100" s="224"/>
      <c r="T100" s="180"/>
      <c r="U100" s="180"/>
      <c r="V100" s="180"/>
      <c r="W100" s="180"/>
      <c r="X100" s="180"/>
      <c r="Y100" s="180"/>
      <c r="Z100" s="180"/>
      <c r="AA100" s="180"/>
      <c r="AB100" s="180"/>
      <c r="AC100" s="180"/>
    </row>
    <row r="101" spans="6:29" ht="15.75" customHeight="1">
      <c r="F101" s="182"/>
      <c r="G101" s="186"/>
      <c r="H101" s="183"/>
      <c r="I101" s="186"/>
      <c r="J101" s="187"/>
      <c r="K101" s="184"/>
      <c r="L101" s="180"/>
      <c r="M101" s="180"/>
      <c r="N101" s="220"/>
      <c r="O101" s="225"/>
      <c r="P101" s="222"/>
      <c r="Q101" s="225"/>
      <c r="R101" s="226"/>
      <c r="S101" s="224"/>
      <c r="T101" s="180"/>
      <c r="U101" s="180"/>
      <c r="V101" s="180"/>
      <c r="W101" s="180"/>
      <c r="X101" s="180"/>
      <c r="Y101" s="180"/>
      <c r="Z101" s="180"/>
      <c r="AA101" s="180"/>
      <c r="AB101" s="180"/>
      <c r="AC101" s="180"/>
    </row>
    <row r="102" spans="6:29" ht="15.75" customHeight="1">
      <c r="F102" s="182"/>
      <c r="G102" s="163"/>
      <c r="H102" s="183"/>
      <c r="I102" s="163"/>
      <c r="J102" s="176"/>
      <c r="K102" s="184"/>
      <c r="L102" s="180"/>
      <c r="M102" s="180"/>
      <c r="N102" s="220"/>
      <c r="O102" s="225"/>
      <c r="P102" s="222"/>
      <c r="Q102" s="225"/>
      <c r="R102" s="226"/>
      <c r="S102" s="224"/>
      <c r="T102" s="180"/>
      <c r="U102" s="180"/>
      <c r="V102" s="180"/>
      <c r="W102" s="180"/>
      <c r="X102" s="180"/>
      <c r="Y102" s="180"/>
      <c r="Z102" s="180"/>
      <c r="AA102" s="180"/>
      <c r="AB102" s="180"/>
      <c r="AC102" s="180"/>
    </row>
    <row r="103" spans="6:29" ht="15.75" customHeight="1">
      <c r="F103" s="182"/>
      <c r="G103" s="186"/>
      <c r="H103" s="183"/>
      <c r="I103" s="186"/>
      <c r="J103" s="187"/>
      <c r="K103" s="184"/>
      <c r="L103" s="180"/>
      <c r="M103" s="180"/>
      <c r="N103" s="220"/>
      <c r="O103" s="221"/>
      <c r="P103" s="222"/>
      <c r="Q103" s="221"/>
      <c r="R103" s="223"/>
      <c r="S103" s="224"/>
      <c r="T103" s="180"/>
      <c r="U103" s="180"/>
      <c r="V103" s="180"/>
      <c r="W103" s="180"/>
      <c r="X103" s="180"/>
      <c r="Y103" s="180"/>
      <c r="Z103" s="180"/>
      <c r="AA103" s="180"/>
      <c r="AB103" s="180"/>
      <c r="AC103" s="180"/>
    </row>
    <row r="104" spans="6:29" ht="15.75" customHeight="1">
      <c r="F104" s="182"/>
      <c r="G104" s="163"/>
      <c r="H104" s="183"/>
      <c r="I104" s="163"/>
      <c r="J104" s="176"/>
      <c r="K104" s="184"/>
      <c r="L104" s="180"/>
      <c r="M104" s="180"/>
      <c r="N104" s="220"/>
      <c r="O104" s="225"/>
      <c r="P104" s="222"/>
      <c r="Q104" s="225"/>
      <c r="R104" s="226"/>
      <c r="S104" s="224"/>
      <c r="T104" s="180"/>
      <c r="U104" s="180"/>
      <c r="V104" s="180"/>
      <c r="W104" s="180"/>
      <c r="X104" s="180"/>
      <c r="Y104" s="180"/>
      <c r="Z104" s="180"/>
      <c r="AA104" s="180"/>
      <c r="AB104" s="180"/>
      <c r="AC104" s="180"/>
    </row>
    <row r="105" spans="6:29" ht="15.75" customHeight="1">
      <c r="F105" s="182"/>
      <c r="G105" s="186"/>
      <c r="H105" s="183"/>
      <c r="I105" s="186"/>
      <c r="J105" s="187"/>
      <c r="K105" s="184"/>
      <c r="L105" s="180"/>
      <c r="M105" s="180"/>
      <c r="N105" s="220"/>
      <c r="O105" s="225"/>
      <c r="P105" s="222"/>
      <c r="Q105" s="225"/>
      <c r="R105" s="226"/>
      <c r="S105" s="224"/>
      <c r="T105" s="180"/>
      <c r="U105" s="180"/>
      <c r="V105" s="180"/>
      <c r="W105" s="180"/>
      <c r="X105" s="180"/>
      <c r="Y105" s="180"/>
      <c r="Z105" s="180"/>
      <c r="AA105" s="180"/>
      <c r="AB105" s="180"/>
      <c r="AC105" s="180"/>
    </row>
    <row r="106" spans="6:29" ht="15.75" customHeight="1">
      <c r="F106" s="182"/>
      <c r="G106" s="163"/>
      <c r="H106" s="183"/>
      <c r="I106" s="163"/>
      <c r="J106" s="176"/>
      <c r="K106" s="184"/>
      <c r="L106" s="180"/>
      <c r="M106" s="180"/>
      <c r="N106" s="220"/>
      <c r="O106" s="225"/>
      <c r="P106" s="222"/>
      <c r="Q106" s="225"/>
      <c r="R106" s="226"/>
      <c r="S106" s="224"/>
      <c r="T106" s="180"/>
      <c r="U106" s="180"/>
      <c r="V106" s="180"/>
      <c r="W106" s="180"/>
      <c r="X106" s="180"/>
      <c r="Y106" s="180"/>
      <c r="Z106" s="180"/>
      <c r="AA106" s="180"/>
      <c r="AB106" s="180"/>
      <c r="AC106" s="180"/>
    </row>
    <row r="107" spans="6:29" ht="15.75" customHeight="1">
      <c r="F107" s="182"/>
      <c r="G107" s="181"/>
      <c r="H107" s="183"/>
      <c r="I107" s="181"/>
      <c r="J107" s="185"/>
      <c r="K107" s="184"/>
      <c r="L107" s="180"/>
      <c r="M107" s="180"/>
      <c r="N107" s="220"/>
      <c r="O107" s="225"/>
      <c r="P107" s="222"/>
      <c r="Q107" s="225"/>
      <c r="R107" s="226"/>
      <c r="S107" s="224"/>
      <c r="T107" s="180"/>
      <c r="U107" s="180"/>
      <c r="V107" s="180"/>
      <c r="W107" s="180"/>
      <c r="X107" s="180"/>
      <c r="Y107" s="180"/>
      <c r="Z107" s="180"/>
      <c r="AA107" s="180"/>
      <c r="AB107" s="180"/>
      <c r="AC107" s="180"/>
    </row>
    <row r="108" spans="6:29" ht="15.75" customHeight="1">
      <c r="F108" s="182"/>
      <c r="G108" s="163"/>
      <c r="H108" s="183"/>
      <c r="I108" s="163"/>
      <c r="J108" s="176"/>
      <c r="K108" s="184"/>
      <c r="L108" s="180"/>
      <c r="M108" s="180"/>
      <c r="N108" s="220"/>
      <c r="O108" s="225"/>
      <c r="P108" s="222"/>
      <c r="Q108" s="225"/>
      <c r="R108" s="226"/>
      <c r="S108" s="224"/>
      <c r="T108" s="180"/>
      <c r="U108" s="180"/>
      <c r="V108" s="180"/>
      <c r="W108" s="180"/>
      <c r="X108" s="180"/>
      <c r="Y108" s="180"/>
      <c r="Z108" s="180"/>
      <c r="AA108" s="180"/>
      <c r="AB108" s="180"/>
      <c r="AC108" s="180"/>
    </row>
    <row r="109" spans="6:29" ht="15.75" customHeight="1">
      <c r="F109" s="182"/>
      <c r="G109" s="186"/>
      <c r="H109" s="183"/>
      <c r="I109" s="186"/>
      <c r="J109" s="187"/>
      <c r="K109" s="184"/>
      <c r="L109" s="180"/>
      <c r="M109" s="180"/>
      <c r="N109" s="220"/>
      <c r="O109" s="225"/>
      <c r="P109" s="222"/>
      <c r="Q109" s="225"/>
      <c r="R109" s="226"/>
      <c r="S109" s="224"/>
      <c r="T109" s="180"/>
      <c r="U109" s="180"/>
      <c r="V109" s="180"/>
      <c r="W109" s="180"/>
      <c r="X109" s="180"/>
      <c r="Y109" s="180"/>
      <c r="Z109" s="180"/>
      <c r="AA109" s="180"/>
      <c r="AB109" s="180"/>
      <c r="AC109" s="180"/>
    </row>
    <row r="110" spans="6:29" ht="15.75" customHeight="1">
      <c r="F110" s="182"/>
      <c r="G110" s="163"/>
      <c r="H110" s="183"/>
      <c r="I110" s="163"/>
      <c r="J110" s="176"/>
      <c r="K110" s="184"/>
      <c r="L110" s="180"/>
      <c r="M110" s="180"/>
      <c r="N110" s="220"/>
      <c r="O110" s="221"/>
      <c r="P110" s="222"/>
      <c r="Q110" s="221"/>
      <c r="R110" s="223"/>
      <c r="S110" s="224"/>
      <c r="T110" s="180"/>
      <c r="U110" s="180"/>
      <c r="V110" s="180"/>
      <c r="W110" s="180"/>
      <c r="X110" s="180"/>
      <c r="Y110" s="180"/>
      <c r="Z110" s="180"/>
      <c r="AA110" s="180"/>
      <c r="AB110" s="180"/>
      <c r="AC110" s="180"/>
    </row>
    <row r="111" spans="6:29" ht="15.75" customHeight="1">
      <c r="F111" s="182"/>
      <c r="G111" s="181"/>
      <c r="H111" s="183"/>
      <c r="I111" s="181"/>
      <c r="J111" s="185"/>
      <c r="K111" s="184"/>
      <c r="L111" s="180"/>
      <c r="M111" s="180"/>
      <c r="N111" s="220"/>
      <c r="O111" s="225"/>
      <c r="P111" s="222"/>
      <c r="Q111" s="225"/>
      <c r="R111" s="226"/>
      <c r="S111" s="224"/>
      <c r="T111" s="180"/>
      <c r="U111" s="180"/>
      <c r="V111" s="180"/>
      <c r="W111" s="180"/>
      <c r="X111" s="180"/>
      <c r="Y111" s="180"/>
      <c r="Z111" s="180"/>
      <c r="AA111" s="180"/>
      <c r="AB111" s="180"/>
      <c r="AC111" s="180"/>
    </row>
    <row r="112" spans="6:29" ht="15.75" customHeight="1">
      <c r="F112" s="182"/>
      <c r="G112" s="163"/>
      <c r="H112" s="183"/>
      <c r="I112" s="163"/>
      <c r="J112" s="176"/>
      <c r="K112" s="184"/>
      <c r="L112" s="180"/>
      <c r="M112" s="180"/>
      <c r="N112" s="220"/>
      <c r="O112" s="225"/>
      <c r="P112" s="222"/>
      <c r="Q112" s="225"/>
      <c r="R112" s="226"/>
      <c r="S112" s="224"/>
      <c r="T112" s="180"/>
      <c r="U112" s="180"/>
      <c r="V112" s="180"/>
      <c r="W112" s="180"/>
      <c r="X112" s="180"/>
      <c r="Y112" s="180"/>
      <c r="Z112" s="180"/>
      <c r="AA112" s="180"/>
      <c r="AB112" s="180"/>
      <c r="AC112" s="180"/>
    </row>
    <row r="113" spans="6:29" ht="15.75" customHeight="1">
      <c r="F113" s="182"/>
      <c r="G113" s="181"/>
      <c r="H113" s="183"/>
      <c r="I113" s="181"/>
      <c r="J113" s="185"/>
      <c r="K113" s="184"/>
      <c r="L113" s="180"/>
      <c r="M113" s="180"/>
      <c r="N113" s="220"/>
      <c r="O113" s="225"/>
      <c r="P113" s="222"/>
      <c r="Q113" s="225"/>
      <c r="R113" s="226"/>
      <c r="S113" s="224"/>
      <c r="T113" s="180"/>
      <c r="U113" s="180"/>
      <c r="V113" s="180"/>
      <c r="W113" s="180"/>
      <c r="X113" s="180"/>
      <c r="Y113" s="180"/>
      <c r="Z113" s="180"/>
      <c r="AA113" s="180"/>
      <c r="AB113" s="180"/>
      <c r="AC113" s="180"/>
    </row>
    <row r="114" spans="6:29" ht="15.75" customHeight="1">
      <c r="F114" s="182"/>
      <c r="G114" s="186"/>
      <c r="H114" s="183"/>
      <c r="I114" s="186"/>
      <c r="J114" s="187"/>
      <c r="K114" s="184"/>
      <c r="L114" s="180"/>
      <c r="M114" s="180"/>
      <c r="N114" s="220"/>
      <c r="O114" s="225"/>
      <c r="P114" s="222"/>
      <c r="Q114" s="225"/>
      <c r="R114" s="226"/>
      <c r="S114" s="224"/>
      <c r="T114" s="180"/>
      <c r="U114" s="180"/>
      <c r="V114" s="180"/>
      <c r="W114" s="180"/>
      <c r="X114" s="180"/>
      <c r="Y114" s="180"/>
      <c r="Z114" s="180"/>
      <c r="AA114" s="180"/>
      <c r="AB114" s="180"/>
      <c r="AC114" s="180"/>
    </row>
    <row r="115" spans="6:29" ht="15.75" customHeight="1">
      <c r="F115" s="193"/>
      <c r="G115" s="188"/>
      <c r="H115" s="189"/>
      <c r="I115" s="188"/>
      <c r="J115" s="190"/>
      <c r="K115" s="191"/>
      <c r="L115" s="180"/>
      <c r="M115" s="180"/>
      <c r="N115" s="220"/>
      <c r="O115" s="225"/>
      <c r="P115" s="222"/>
      <c r="Q115" s="225"/>
      <c r="R115" s="226"/>
      <c r="S115" s="224"/>
      <c r="T115" s="180"/>
      <c r="U115" s="180"/>
      <c r="V115" s="180"/>
      <c r="W115" s="180"/>
      <c r="X115" s="180"/>
      <c r="Y115" s="180"/>
      <c r="Z115" s="180"/>
      <c r="AA115" s="180"/>
      <c r="AB115" s="180"/>
      <c r="AC115" s="180"/>
    </row>
    <row r="116" spans="6:29" ht="15.75" customHeight="1">
      <c r="F116" s="180"/>
      <c r="G116" s="180"/>
      <c r="H116" s="180"/>
      <c r="I116" s="180"/>
      <c r="J116" s="180"/>
      <c r="K116" s="180"/>
      <c r="L116" s="180"/>
      <c r="M116" s="180"/>
      <c r="N116" s="220"/>
      <c r="O116" s="221"/>
      <c r="P116" s="222"/>
      <c r="Q116" s="221"/>
      <c r="R116" s="223"/>
      <c r="S116" s="224"/>
      <c r="T116" s="180"/>
      <c r="U116" s="180"/>
      <c r="V116" s="180"/>
      <c r="W116" s="180"/>
      <c r="X116" s="180"/>
      <c r="Y116" s="180"/>
      <c r="Z116" s="180"/>
      <c r="AA116" s="180"/>
      <c r="AB116" s="180"/>
      <c r="AC116" s="180"/>
    </row>
    <row r="117" spans="6:29" ht="15.75" customHeight="1">
      <c r="F117" s="180"/>
      <c r="G117" s="180"/>
      <c r="H117" s="180"/>
      <c r="I117" s="180"/>
      <c r="J117" s="180"/>
      <c r="K117" s="180"/>
      <c r="L117" s="180"/>
      <c r="M117" s="180"/>
      <c r="N117" s="220"/>
      <c r="O117" s="225"/>
      <c r="P117" s="222"/>
      <c r="Q117" s="225"/>
      <c r="R117" s="226"/>
      <c r="S117" s="224"/>
      <c r="T117" s="180"/>
      <c r="U117" s="180"/>
      <c r="V117" s="180"/>
      <c r="W117" s="180"/>
      <c r="X117" s="180"/>
      <c r="Y117" s="180"/>
      <c r="Z117" s="180"/>
      <c r="AA117" s="180"/>
      <c r="AB117" s="180"/>
      <c r="AC117" s="180"/>
    </row>
    <row r="118" spans="6:29" ht="15.75" customHeight="1">
      <c r="F118" s="180"/>
      <c r="G118" s="180"/>
      <c r="H118" s="180"/>
      <c r="I118" s="180"/>
      <c r="J118" s="180"/>
      <c r="K118" s="180"/>
      <c r="L118" s="180"/>
      <c r="M118" s="180"/>
      <c r="N118" s="220"/>
      <c r="O118" s="225"/>
      <c r="P118" s="222"/>
      <c r="Q118" s="225"/>
      <c r="R118" s="226"/>
      <c r="S118" s="224"/>
      <c r="T118" s="180"/>
      <c r="U118" s="180"/>
      <c r="V118" s="180"/>
      <c r="W118" s="180"/>
      <c r="X118" s="180"/>
      <c r="Y118" s="180"/>
      <c r="Z118" s="180"/>
      <c r="AA118" s="180"/>
      <c r="AB118" s="180"/>
      <c r="AC118" s="180"/>
    </row>
    <row r="119" spans="6:29" ht="15.75" customHeight="1">
      <c r="F119" s="180"/>
      <c r="G119" s="180"/>
      <c r="H119" s="180"/>
      <c r="I119" s="180"/>
      <c r="J119" s="180"/>
      <c r="K119" s="180"/>
      <c r="L119" s="180"/>
      <c r="M119" s="180"/>
      <c r="N119" s="220"/>
      <c r="O119" s="225"/>
      <c r="P119" s="222"/>
      <c r="Q119" s="225"/>
      <c r="R119" s="226"/>
      <c r="S119" s="224"/>
      <c r="T119" s="180"/>
      <c r="U119" s="180"/>
      <c r="V119" s="180"/>
      <c r="W119" s="180"/>
      <c r="X119" s="180"/>
      <c r="Y119" s="180"/>
      <c r="Z119" s="180"/>
      <c r="AA119" s="180"/>
      <c r="AB119" s="180"/>
      <c r="AC119" s="180"/>
    </row>
    <row r="120" spans="6:29" ht="15.75" customHeight="1">
      <c r="F120" s="180"/>
      <c r="G120" s="180"/>
      <c r="H120" s="180"/>
      <c r="I120" s="180"/>
      <c r="J120" s="180"/>
      <c r="K120" s="180"/>
      <c r="L120" s="180"/>
      <c r="M120" s="180"/>
      <c r="N120" s="220"/>
      <c r="O120" s="225"/>
      <c r="P120" s="222"/>
      <c r="Q120" s="225"/>
      <c r="R120" s="226"/>
      <c r="S120" s="224"/>
      <c r="T120" s="180"/>
      <c r="U120" s="180"/>
      <c r="V120" s="180"/>
      <c r="W120" s="180"/>
      <c r="X120" s="180"/>
      <c r="Y120" s="180"/>
      <c r="Z120" s="180"/>
      <c r="AA120" s="180"/>
      <c r="AB120" s="180"/>
      <c r="AC120" s="180"/>
    </row>
    <row r="121" spans="6:29" ht="15.75" customHeight="1">
      <c r="F121" s="180"/>
      <c r="G121" s="180"/>
      <c r="H121" s="180"/>
      <c r="I121" s="180"/>
      <c r="J121" s="180"/>
      <c r="K121" s="180"/>
      <c r="L121" s="180"/>
      <c r="M121" s="180"/>
      <c r="N121" s="220"/>
      <c r="O121" s="225"/>
      <c r="P121" s="222"/>
      <c r="Q121" s="225"/>
      <c r="R121" s="226"/>
      <c r="S121" s="224"/>
      <c r="T121" s="180"/>
      <c r="U121" s="180"/>
      <c r="V121" s="180"/>
      <c r="W121" s="180"/>
      <c r="X121" s="180"/>
      <c r="Y121" s="180"/>
      <c r="Z121" s="180"/>
      <c r="AA121" s="180"/>
      <c r="AB121" s="180"/>
      <c r="AC121" s="180"/>
    </row>
    <row r="122" spans="6:29" ht="15.75" customHeight="1">
      <c r="F122" s="180"/>
      <c r="G122" s="180"/>
      <c r="H122" s="180"/>
      <c r="I122" s="180"/>
      <c r="J122" s="180"/>
      <c r="K122" s="180"/>
      <c r="L122" s="180"/>
      <c r="M122" s="180"/>
      <c r="N122" s="220"/>
      <c r="O122" s="225"/>
      <c r="P122" s="222"/>
      <c r="Q122" s="225"/>
      <c r="R122" s="226"/>
      <c r="S122" s="224"/>
      <c r="T122" s="180"/>
      <c r="U122" s="180"/>
      <c r="V122" s="180"/>
      <c r="W122" s="180"/>
      <c r="X122" s="180"/>
      <c r="Y122" s="180"/>
      <c r="Z122" s="180"/>
      <c r="AA122" s="180"/>
      <c r="AB122" s="180"/>
      <c r="AC122" s="180"/>
    </row>
    <row r="123" spans="6:29" ht="15.75" customHeight="1">
      <c r="F123" s="180"/>
      <c r="G123" s="180"/>
      <c r="H123" s="180"/>
      <c r="I123" s="180"/>
      <c r="J123" s="180"/>
      <c r="K123" s="180"/>
      <c r="L123" s="180"/>
      <c r="M123" s="180"/>
      <c r="N123" s="220"/>
      <c r="O123" s="225"/>
      <c r="P123" s="222"/>
      <c r="Q123" s="225"/>
      <c r="R123" s="226"/>
      <c r="S123" s="224"/>
      <c r="T123" s="180"/>
      <c r="U123" s="180"/>
      <c r="V123" s="180"/>
      <c r="W123" s="180"/>
      <c r="X123" s="180"/>
      <c r="Y123" s="180"/>
      <c r="Z123" s="180"/>
      <c r="AA123" s="180"/>
      <c r="AB123" s="180"/>
      <c r="AC123" s="180"/>
    </row>
    <row r="124" spans="6:29" ht="15.75" customHeight="1">
      <c r="F124" s="180"/>
      <c r="G124" s="180"/>
      <c r="H124" s="180"/>
      <c r="I124" s="180"/>
      <c r="J124" s="180"/>
      <c r="K124" s="180"/>
      <c r="L124" s="180"/>
      <c r="M124" s="180"/>
      <c r="N124" s="220"/>
      <c r="O124" s="221"/>
      <c r="P124" s="222"/>
      <c r="Q124" s="221"/>
      <c r="R124" s="223"/>
      <c r="S124" s="224"/>
      <c r="T124" s="180"/>
      <c r="U124" s="180"/>
      <c r="V124" s="180"/>
      <c r="W124" s="180"/>
      <c r="X124" s="180"/>
      <c r="Y124" s="180"/>
      <c r="Z124" s="180"/>
      <c r="AA124" s="180"/>
      <c r="AB124" s="180"/>
      <c r="AC124" s="180"/>
    </row>
    <row r="125" spans="6:29" ht="15.75" customHeight="1">
      <c r="F125" s="180"/>
      <c r="G125" s="180"/>
      <c r="H125" s="180"/>
      <c r="I125" s="180"/>
      <c r="J125" s="180"/>
      <c r="K125" s="180"/>
      <c r="L125" s="180"/>
      <c r="M125" s="180"/>
      <c r="N125" s="220"/>
      <c r="O125" s="225"/>
      <c r="P125" s="222"/>
      <c r="Q125" s="225"/>
      <c r="R125" s="226"/>
      <c r="S125" s="224"/>
      <c r="T125" s="180"/>
      <c r="U125" s="180"/>
      <c r="V125" s="180"/>
      <c r="W125" s="180"/>
      <c r="X125" s="180"/>
      <c r="Y125" s="180"/>
      <c r="Z125" s="180"/>
      <c r="AA125" s="180"/>
      <c r="AB125" s="180"/>
      <c r="AC125" s="180"/>
    </row>
    <row r="126" spans="6:29" ht="15.75" customHeight="1">
      <c r="F126" s="180"/>
      <c r="G126" s="180"/>
      <c r="H126" s="180"/>
      <c r="I126" s="180"/>
      <c r="J126" s="180"/>
      <c r="K126" s="180"/>
      <c r="L126" s="180"/>
      <c r="M126" s="180"/>
      <c r="N126" s="220"/>
      <c r="O126" s="225"/>
      <c r="P126" s="222"/>
      <c r="Q126" s="225"/>
      <c r="R126" s="226"/>
      <c r="S126" s="224"/>
      <c r="T126" s="180"/>
      <c r="U126" s="180"/>
      <c r="V126" s="180"/>
      <c r="W126" s="180"/>
      <c r="X126" s="180"/>
      <c r="Y126" s="180"/>
      <c r="Z126" s="180"/>
      <c r="AA126" s="180"/>
      <c r="AB126" s="180"/>
      <c r="AC126" s="180"/>
    </row>
    <row r="127" spans="6:29" ht="15.75" customHeight="1">
      <c r="F127" s="180"/>
      <c r="G127" s="180"/>
      <c r="H127" s="180"/>
      <c r="I127" s="180"/>
      <c r="J127" s="180"/>
      <c r="K127" s="180"/>
      <c r="L127" s="180"/>
      <c r="M127" s="180"/>
      <c r="N127" s="220"/>
      <c r="O127" s="225"/>
      <c r="P127" s="222"/>
      <c r="Q127" s="225"/>
      <c r="R127" s="226"/>
      <c r="S127" s="224"/>
      <c r="T127" s="180"/>
      <c r="U127" s="180"/>
      <c r="V127" s="180"/>
      <c r="W127" s="180"/>
      <c r="X127" s="180"/>
      <c r="Y127" s="180"/>
      <c r="Z127" s="180"/>
      <c r="AA127" s="180"/>
      <c r="AB127" s="180"/>
      <c r="AC127" s="180"/>
    </row>
    <row r="128" spans="6:29" ht="15.75" customHeight="1">
      <c r="F128" s="180"/>
      <c r="G128" s="180"/>
      <c r="H128" s="180"/>
      <c r="I128" s="180"/>
      <c r="J128" s="180"/>
      <c r="K128" s="180"/>
      <c r="L128" s="180"/>
      <c r="M128" s="180"/>
      <c r="N128" s="220"/>
      <c r="O128" s="225"/>
      <c r="P128" s="222"/>
      <c r="Q128" s="225"/>
      <c r="R128" s="226"/>
      <c r="S128" s="224"/>
      <c r="T128" s="180"/>
      <c r="U128" s="180"/>
      <c r="V128" s="180"/>
      <c r="W128" s="180"/>
      <c r="X128" s="180"/>
      <c r="Y128" s="180"/>
      <c r="Z128" s="180"/>
      <c r="AA128" s="180"/>
      <c r="AB128" s="180"/>
      <c r="AC128" s="180"/>
    </row>
    <row r="129" spans="6:29" ht="15.75" customHeight="1">
      <c r="F129" s="180"/>
      <c r="G129" s="180"/>
      <c r="H129" s="180"/>
      <c r="I129" s="180"/>
      <c r="J129" s="180"/>
      <c r="K129" s="180"/>
      <c r="L129" s="180"/>
      <c r="M129" s="180"/>
      <c r="N129" s="220"/>
      <c r="O129" s="225"/>
      <c r="P129" s="222"/>
      <c r="Q129" s="225"/>
      <c r="R129" s="226"/>
      <c r="S129" s="224"/>
      <c r="T129" s="180"/>
      <c r="U129" s="180"/>
      <c r="V129" s="180"/>
      <c r="W129" s="180"/>
      <c r="X129" s="180"/>
      <c r="Y129" s="180"/>
      <c r="Z129" s="180"/>
      <c r="AA129" s="180"/>
      <c r="AB129" s="180"/>
      <c r="AC129" s="180"/>
    </row>
    <row r="130" spans="6:29" ht="15.75" customHeight="1">
      <c r="F130" s="180"/>
      <c r="G130" s="180"/>
      <c r="H130" s="180"/>
      <c r="I130" s="180"/>
      <c r="J130" s="180"/>
      <c r="K130" s="180"/>
      <c r="L130" s="180"/>
      <c r="M130" s="180"/>
      <c r="N130" s="220"/>
      <c r="O130" s="221"/>
      <c r="P130" s="222"/>
      <c r="Q130" s="221"/>
      <c r="R130" s="223"/>
      <c r="S130" s="224"/>
      <c r="T130" s="180"/>
      <c r="U130" s="180"/>
      <c r="V130" s="180"/>
      <c r="W130" s="180"/>
      <c r="X130" s="180"/>
      <c r="Y130" s="180"/>
      <c r="Z130" s="180"/>
      <c r="AA130" s="180"/>
      <c r="AB130" s="180"/>
      <c r="AC130" s="180"/>
    </row>
    <row r="131" spans="6:29" ht="15.75" customHeight="1">
      <c r="F131" s="180"/>
      <c r="G131" s="180"/>
      <c r="H131" s="180"/>
      <c r="I131" s="180"/>
      <c r="J131" s="180"/>
      <c r="K131" s="180"/>
      <c r="L131" s="180"/>
      <c r="M131" s="180"/>
      <c r="N131" s="220"/>
      <c r="O131" s="225"/>
      <c r="P131" s="222"/>
      <c r="Q131" s="225"/>
      <c r="R131" s="226"/>
      <c r="S131" s="224"/>
      <c r="T131" s="180"/>
      <c r="U131" s="180"/>
      <c r="V131" s="180"/>
      <c r="W131" s="180"/>
      <c r="X131" s="180"/>
      <c r="Y131" s="180"/>
      <c r="Z131" s="180"/>
      <c r="AA131" s="180"/>
      <c r="AB131" s="180"/>
      <c r="AC131" s="180"/>
    </row>
    <row r="132" spans="6:29" ht="15.75" customHeight="1">
      <c r="F132" s="180"/>
      <c r="G132" s="180"/>
      <c r="H132" s="180"/>
      <c r="I132" s="180"/>
      <c r="J132" s="180"/>
      <c r="K132" s="180"/>
      <c r="L132" s="180"/>
      <c r="M132" s="180"/>
      <c r="N132" s="220"/>
      <c r="O132" s="225"/>
      <c r="P132" s="222"/>
      <c r="Q132" s="225"/>
      <c r="R132" s="226"/>
      <c r="S132" s="224"/>
      <c r="T132" s="180"/>
      <c r="U132" s="180"/>
      <c r="V132" s="180"/>
      <c r="W132" s="180"/>
      <c r="X132" s="180"/>
      <c r="Y132" s="180"/>
      <c r="Z132" s="180"/>
      <c r="AA132" s="180"/>
      <c r="AB132" s="180"/>
      <c r="AC132" s="180"/>
    </row>
    <row r="133" spans="6:29" ht="15.75" customHeight="1">
      <c r="F133" s="180"/>
      <c r="G133" s="180"/>
      <c r="H133" s="180"/>
      <c r="I133" s="180"/>
      <c r="J133" s="180"/>
      <c r="K133" s="180"/>
      <c r="L133" s="180"/>
      <c r="M133" s="180"/>
      <c r="N133" s="220"/>
      <c r="O133" s="225"/>
      <c r="P133" s="222"/>
      <c r="Q133" s="225"/>
      <c r="R133" s="226"/>
      <c r="S133" s="224"/>
      <c r="T133" s="180"/>
      <c r="U133" s="180"/>
      <c r="V133" s="180"/>
      <c r="W133" s="180"/>
      <c r="X133" s="180"/>
      <c r="Y133" s="180"/>
      <c r="Z133" s="180"/>
      <c r="AA133" s="180"/>
      <c r="AB133" s="180"/>
      <c r="AC133" s="180"/>
    </row>
    <row r="134" spans="6:29" ht="15.75" customHeight="1">
      <c r="F134" s="180"/>
      <c r="G134" s="180"/>
      <c r="H134" s="180"/>
      <c r="I134" s="180"/>
      <c r="J134" s="180"/>
      <c r="K134" s="180"/>
      <c r="L134" s="180"/>
      <c r="M134" s="180"/>
      <c r="N134" s="220"/>
      <c r="O134" s="225"/>
      <c r="P134" s="222"/>
      <c r="Q134" s="225"/>
      <c r="R134" s="226"/>
      <c r="S134" s="224"/>
      <c r="T134" s="180"/>
      <c r="U134" s="180"/>
      <c r="V134" s="180"/>
      <c r="W134" s="180"/>
      <c r="X134" s="180"/>
      <c r="Y134" s="180"/>
      <c r="Z134" s="180"/>
      <c r="AA134" s="180"/>
      <c r="AB134" s="180"/>
      <c r="AC134" s="180"/>
    </row>
    <row r="135" spans="6:29" ht="15.75" customHeight="1">
      <c r="F135" s="180"/>
      <c r="G135" s="180"/>
      <c r="H135" s="180"/>
      <c r="I135" s="180"/>
      <c r="J135" s="180"/>
      <c r="K135" s="180"/>
      <c r="L135" s="180"/>
      <c r="M135" s="180"/>
      <c r="N135" s="220"/>
      <c r="O135" s="225"/>
      <c r="P135" s="222"/>
      <c r="Q135" s="225"/>
      <c r="R135" s="226"/>
      <c r="S135" s="224"/>
      <c r="T135" s="180"/>
      <c r="U135" s="180"/>
      <c r="V135" s="180"/>
      <c r="W135" s="180"/>
      <c r="X135" s="180"/>
      <c r="Y135" s="180"/>
      <c r="Z135" s="180"/>
      <c r="AA135" s="180"/>
      <c r="AB135" s="180"/>
      <c r="AC135" s="180"/>
    </row>
    <row r="136" spans="6:29" ht="15.75" customHeight="1">
      <c r="F136" s="180"/>
      <c r="G136" s="180"/>
      <c r="H136" s="180"/>
      <c r="I136" s="180"/>
      <c r="J136" s="180"/>
      <c r="K136" s="180"/>
      <c r="L136" s="180"/>
      <c r="M136" s="180"/>
      <c r="N136" s="220"/>
      <c r="O136" s="221"/>
      <c r="P136" s="222"/>
      <c r="Q136" s="221"/>
      <c r="R136" s="223"/>
      <c r="S136" s="224"/>
      <c r="T136" s="180"/>
      <c r="U136" s="180"/>
      <c r="V136" s="180"/>
      <c r="W136" s="180"/>
      <c r="X136" s="180"/>
      <c r="Y136" s="180"/>
      <c r="Z136" s="180"/>
      <c r="AA136" s="180"/>
      <c r="AB136" s="180"/>
      <c r="AC136" s="180"/>
    </row>
    <row r="137" spans="6:29" ht="15.75" customHeight="1">
      <c r="F137" s="180"/>
      <c r="G137" s="180"/>
      <c r="H137" s="180"/>
      <c r="I137" s="180"/>
      <c r="J137" s="180"/>
      <c r="K137" s="180"/>
      <c r="L137" s="180"/>
      <c r="M137" s="180"/>
      <c r="N137" s="220"/>
      <c r="O137" s="225"/>
      <c r="P137" s="222"/>
      <c r="Q137" s="225"/>
      <c r="R137" s="226"/>
      <c r="S137" s="224"/>
      <c r="T137" s="180"/>
      <c r="U137" s="180"/>
      <c r="V137" s="180"/>
      <c r="W137" s="180"/>
      <c r="X137" s="180"/>
      <c r="Y137" s="180"/>
      <c r="Z137" s="180"/>
      <c r="AA137" s="180"/>
      <c r="AB137" s="180"/>
      <c r="AC137" s="180"/>
    </row>
    <row r="138" spans="6:29" ht="15.75" customHeight="1">
      <c r="F138" s="180"/>
      <c r="G138" s="180"/>
      <c r="H138" s="180"/>
      <c r="I138" s="180"/>
      <c r="J138" s="180"/>
      <c r="K138" s="180"/>
      <c r="L138" s="180"/>
      <c r="M138" s="180"/>
      <c r="N138" s="220"/>
      <c r="O138" s="225"/>
      <c r="P138" s="222"/>
      <c r="Q138" s="225"/>
      <c r="R138" s="226"/>
      <c r="S138" s="224"/>
      <c r="T138" s="180"/>
      <c r="U138" s="180"/>
      <c r="V138" s="180"/>
      <c r="W138" s="180"/>
      <c r="X138" s="180"/>
      <c r="Y138" s="180"/>
      <c r="Z138" s="180"/>
      <c r="AA138" s="180"/>
      <c r="AB138" s="180"/>
      <c r="AC138" s="180"/>
    </row>
    <row r="139" spans="6:29" ht="15.75" customHeight="1">
      <c r="F139" s="180"/>
      <c r="G139" s="180"/>
      <c r="H139" s="180"/>
      <c r="I139" s="180"/>
      <c r="J139" s="180"/>
      <c r="K139" s="180"/>
      <c r="L139" s="180"/>
      <c r="M139" s="180"/>
      <c r="N139" s="220"/>
      <c r="O139" s="225"/>
      <c r="P139" s="222"/>
      <c r="Q139" s="225"/>
      <c r="R139" s="226"/>
      <c r="S139" s="224"/>
      <c r="T139" s="180"/>
      <c r="U139" s="180"/>
      <c r="V139" s="180"/>
      <c r="W139" s="180"/>
      <c r="X139" s="180"/>
      <c r="Y139" s="180"/>
      <c r="Z139" s="180"/>
      <c r="AA139" s="180"/>
      <c r="AB139" s="180"/>
      <c r="AC139" s="180"/>
    </row>
    <row r="140" spans="6:29" ht="15.75" customHeight="1">
      <c r="F140" s="180"/>
      <c r="G140" s="180"/>
      <c r="H140" s="180"/>
      <c r="I140" s="180"/>
      <c r="J140" s="180"/>
      <c r="K140" s="180"/>
      <c r="L140" s="180"/>
      <c r="M140" s="180"/>
      <c r="N140" s="220"/>
      <c r="O140" s="225"/>
      <c r="P140" s="222"/>
      <c r="Q140" s="225"/>
      <c r="R140" s="226"/>
      <c r="S140" s="224"/>
      <c r="T140" s="180"/>
      <c r="U140" s="180"/>
      <c r="V140" s="180"/>
      <c r="W140" s="180"/>
      <c r="X140" s="180"/>
      <c r="Y140" s="180"/>
      <c r="Z140" s="180"/>
      <c r="AA140" s="180"/>
      <c r="AB140" s="180"/>
      <c r="AC140" s="180"/>
    </row>
    <row r="141" spans="6:29" ht="15.75" customHeight="1">
      <c r="F141" s="180"/>
      <c r="G141" s="180"/>
      <c r="H141" s="180"/>
      <c r="I141" s="180"/>
      <c r="J141" s="180"/>
      <c r="K141" s="180"/>
      <c r="L141" s="180"/>
      <c r="M141" s="180"/>
      <c r="N141" s="220"/>
      <c r="O141" s="225"/>
      <c r="P141" s="222"/>
      <c r="Q141" s="225"/>
      <c r="R141" s="226"/>
      <c r="S141" s="224"/>
      <c r="T141" s="180"/>
      <c r="U141" s="180"/>
      <c r="V141" s="180"/>
      <c r="W141" s="180"/>
      <c r="X141" s="180"/>
      <c r="Y141" s="180"/>
      <c r="Z141" s="180"/>
      <c r="AA141" s="180"/>
      <c r="AB141" s="180"/>
      <c r="AC141" s="180"/>
    </row>
    <row r="142" spans="6:29" ht="15.75" customHeight="1">
      <c r="F142" s="180"/>
      <c r="G142" s="180"/>
      <c r="H142" s="180"/>
      <c r="I142" s="180"/>
      <c r="J142" s="180"/>
      <c r="K142" s="180"/>
      <c r="L142" s="180"/>
      <c r="M142" s="180"/>
      <c r="N142" s="220"/>
      <c r="O142" s="221"/>
      <c r="P142" s="222"/>
      <c r="Q142" s="221"/>
      <c r="R142" s="223"/>
      <c r="S142" s="224"/>
      <c r="T142" s="180"/>
      <c r="U142" s="180"/>
      <c r="V142" s="180"/>
      <c r="W142" s="180"/>
      <c r="X142" s="180"/>
      <c r="Y142" s="180"/>
      <c r="Z142" s="180"/>
      <c r="AA142" s="180"/>
      <c r="AB142" s="180"/>
      <c r="AC142" s="180"/>
    </row>
    <row r="143" spans="6:29" ht="15.75" customHeight="1">
      <c r="F143" s="180"/>
      <c r="G143" s="180"/>
      <c r="H143" s="180"/>
      <c r="I143" s="180"/>
      <c r="J143" s="180"/>
      <c r="K143" s="180"/>
      <c r="L143" s="180"/>
      <c r="M143" s="180"/>
      <c r="N143" s="220"/>
      <c r="O143" s="225"/>
      <c r="P143" s="222"/>
      <c r="Q143" s="225"/>
      <c r="R143" s="226"/>
      <c r="S143" s="224"/>
      <c r="T143" s="180"/>
      <c r="U143" s="180"/>
      <c r="V143" s="180"/>
      <c r="W143" s="180"/>
      <c r="X143" s="180"/>
      <c r="Y143" s="180"/>
      <c r="Z143" s="180"/>
      <c r="AA143" s="180"/>
      <c r="AB143" s="180"/>
      <c r="AC143" s="180"/>
    </row>
    <row r="144" spans="6:29" ht="15.75" customHeight="1">
      <c r="F144" s="180"/>
      <c r="G144" s="180"/>
      <c r="H144" s="180"/>
      <c r="I144" s="180"/>
      <c r="J144" s="180"/>
      <c r="K144" s="180"/>
      <c r="L144" s="180"/>
      <c r="M144" s="180"/>
      <c r="N144" s="220"/>
      <c r="O144" s="225"/>
      <c r="P144" s="222"/>
      <c r="Q144" s="225"/>
      <c r="R144" s="226"/>
      <c r="S144" s="224"/>
      <c r="T144" s="180"/>
      <c r="U144" s="180"/>
      <c r="V144" s="180"/>
      <c r="W144" s="180"/>
      <c r="X144" s="180"/>
      <c r="Y144" s="180"/>
      <c r="Z144" s="180"/>
      <c r="AA144" s="180"/>
      <c r="AB144" s="180"/>
      <c r="AC144" s="180"/>
    </row>
    <row r="145" spans="6:29" ht="15.75" customHeight="1">
      <c r="F145" s="180"/>
      <c r="G145" s="180"/>
      <c r="H145" s="180"/>
      <c r="I145" s="180"/>
      <c r="J145" s="180"/>
      <c r="K145" s="180"/>
      <c r="L145" s="180"/>
      <c r="M145" s="180"/>
      <c r="N145" s="220"/>
      <c r="O145" s="221"/>
      <c r="P145" s="222"/>
      <c r="Q145" s="221"/>
      <c r="R145" s="223"/>
      <c r="S145" s="224"/>
      <c r="T145" s="180"/>
      <c r="U145" s="180"/>
      <c r="V145" s="180"/>
      <c r="W145" s="180"/>
      <c r="X145" s="180"/>
      <c r="Y145" s="180"/>
      <c r="Z145" s="180"/>
      <c r="AA145" s="180"/>
      <c r="AB145" s="180"/>
      <c r="AC145" s="180"/>
    </row>
    <row r="146" spans="6:29" ht="15.75" customHeight="1">
      <c r="F146" s="180"/>
      <c r="G146" s="180"/>
      <c r="H146" s="180"/>
      <c r="I146" s="180"/>
      <c r="J146" s="180"/>
      <c r="K146" s="180"/>
      <c r="L146" s="180"/>
      <c r="M146" s="180"/>
      <c r="N146" s="220"/>
      <c r="O146" s="225"/>
      <c r="P146" s="222"/>
      <c r="Q146" s="225"/>
      <c r="R146" s="226"/>
      <c r="S146" s="224"/>
      <c r="T146" s="180"/>
      <c r="U146" s="180"/>
      <c r="V146" s="180"/>
      <c r="W146" s="180"/>
      <c r="X146" s="180"/>
      <c r="Y146" s="180"/>
      <c r="Z146" s="180"/>
      <c r="AA146" s="180"/>
      <c r="AB146" s="180"/>
      <c r="AC146" s="180"/>
    </row>
    <row r="147" spans="6:29" ht="15.75" customHeight="1">
      <c r="F147" s="180"/>
      <c r="G147" s="180"/>
      <c r="H147" s="180"/>
      <c r="I147" s="180"/>
      <c r="J147" s="180"/>
      <c r="K147" s="180"/>
      <c r="L147" s="180"/>
      <c r="M147" s="180"/>
      <c r="N147" s="220"/>
      <c r="O147" s="225"/>
      <c r="P147" s="222"/>
      <c r="Q147" s="225"/>
      <c r="R147" s="226"/>
      <c r="S147" s="224"/>
      <c r="T147" s="180"/>
      <c r="U147" s="180"/>
      <c r="V147" s="180"/>
      <c r="W147" s="180"/>
      <c r="X147" s="180"/>
      <c r="Y147" s="180"/>
      <c r="Z147" s="180"/>
      <c r="AA147" s="180"/>
      <c r="AB147" s="180"/>
      <c r="AC147" s="180"/>
    </row>
    <row r="148" spans="6:29" ht="15.75" customHeight="1">
      <c r="F148" s="180"/>
      <c r="G148" s="180"/>
      <c r="H148" s="180"/>
      <c r="I148" s="180"/>
      <c r="J148" s="180"/>
      <c r="K148" s="180"/>
      <c r="L148" s="180"/>
      <c r="M148" s="180"/>
      <c r="N148" s="220"/>
      <c r="O148" s="225"/>
      <c r="P148" s="222"/>
      <c r="Q148" s="225"/>
      <c r="R148" s="226"/>
      <c r="S148" s="224"/>
      <c r="T148" s="180"/>
      <c r="U148" s="180"/>
      <c r="V148" s="180"/>
      <c r="W148" s="180"/>
      <c r="X148" s="180"/>
      <c r="Y148" s="180"/>
      <c r="Z148" s="180"/>
      <c r="AA148" s="180"/>
      <c r="AB148" s="180"/>
      <c r="AC148" s="180"/>
    </row>
    <row r="149" spans="6:29" ht="15.75" customHeight="1">
      <c r="N149" s="220"/>
      <c r="O149" s="225"/>
      <c r="P149" s="222"/>
      <c r="Q149" s="225"/>
      <c r="R149" s="226"/>
      <c r="S149" s="224"/>
    </row>
    <row r="150" spans="6:29" ht="15.75" customHeight="1">
      <c r="N150" s="220"/>
      <c r="O150" s="225"/>
      <c r="P150" s="222"/>
      <c r="Q150" s="225"/>
      <c r="R150" s="226"/>
      <c r="S150" s="224"/>
    </row>
    <row r="151" spans="6:29" ht="15.75" customHeight="1">
      <c r="N151" s="220"/>
      <c r="O151" s="225"/>
      <c r="P151" s="222"/>
      <c r="Q151" s="225"/>
      <c r="R151" s="226"/>
      <c r="S151" s="224"/>
    </row>
    <row r="152" spans="6:29" ht="15.75" customHeight="1">
      <c r="N152" s="220"/>
      <c r="O152" s="221"/>
      <c r="P152" s="222"/>
      <c r="Q152" s="221"/>
      <c r="R152" s="223"/>
      <c r="S152" s="224"/>
    </row>
    <row r="153" spans="6:29" ht="15.75" customHeight="1">
      <c r="N153" s="220"/>
      <c r="O153" s="225"/>
      <c r="P153" s="222"/>
      <c r="Q153" s="225"/>
      <c r="R153" s="226"/>
      <c r="S153" s="224"/>
    </row>
    <row r="154" spans="6:29" ht="15.75" customHeight="1">
      <c r="N154" s="220"/>
      <c r="O154" s="225"/>
      <c r="P154" s="222"/>
      <c r="Q154" s="225"/>
      <c r="R154" s="226"/>
      <c r="S154" s="224"/>
    </row>
    <row r="155" spans="6:29" ht="15.75" customHeight="1">
      <c r="N155" s="220"/>
      <c r="O155" s="225"/>
      <c r="P155" s="222"/>
      <c r="Q155" s="225"/>
      <c r="R155" s="226"/>
      <c r="S155" s="224"/>
    </row>
    <row r="156" spans="6:29" ht="15.75" customHeight="1">
      <c r="N156" s="220"/>
      <c r="O156" s="225"/>
      <c r="P156" s="222"/>
      <c r="Q156" s="225"/>
      <c r="R156" s="226"/>
      <c r="S156" s="224"/>
    </row>
    <row r="157" spans="6:29" ht="15.75" customHeight="1">
      <c r="N157" s="220"/>
      <c r="O157" s="225"/>
      <c r="P157" s="222"/>
      <c r="Q157" s="225"/>
      <c r="R157" s="226"/>
      <c r="S157" s="224"/>
    </row>
    <row r="158" spans="6:29" ht="15.75" customHeight="1">
      <c r="N158" s="220"/>
      <c r="O158" s="221"/>
      <c r="P158" s="222"/>
      <c r="Q158" s="221"/>
      <c r="R158" s="223"/>
      <c r="S158" s="224"/>
    </row>
    <row r="159" spans="6:29" ht="15.75" customHeight="1">
      <c r="N159" s="220"/>
      <c r="O159" s="225"/>
      <c r="P159" s="222"/>
      <c r="Q159" s="225"/>
      <c r="R159" s="226"/>
      <c r="S159" s="224"/>
    </row>
    <row r="160" spans="6:29" ht="15.75" customHeight="1">
      <c r="N160" s="220"/>
      <c r="O160" s="225"/>
      <c r="P160" s="222"/>
      <c r="Q160" s="225"/>
      <c r="R160" s="226"/>
      <c r="S160" s="224"/>
    </row>
    <row r="161" spans="14:19" ht="15.75" customHeight="1">
      <c r="N161" s="220"/>
      <c r="O161" s="225"/>
      <c r="P161" s="222"/>
      <c r="Q161" s="225"/>
      <c r="R161" s="226"/>
      <c r="S161" s="224"/>
    </row>
    <row r="162" spans="14:19" ht="15.75" customHeight="1">
      <c r="N162" s="220"/>
      <c r="O162" s="225"/>
      <c r="P162" s="222"/>
      <c r="Q162" s="225"/>
      <c r="R162" s="226"/>
      <c r="S162" s="224"/>
    </row>
    <row r="163" spans="14:19" ht="15.75" customHeight="1">
      <c r="N163" s="220"/>
      <c r="O163" s="225"/>
      <c r="P163" s="222"/>
      <c r="Q163" s="225"/>
      <c r="R163" s="226"/>
      <c r="S163" s="224"/>
    </row>
    <row r="164" spans="14:19" ht="15.75" customHeight="1">
      <c r="N164" s="220"/>
      <c r="O164" s="225"/>
      <c r="P164" s="222"/>
      <c r="Q164" s="225"/>
      <c r="R164" s="226"/>
      <c r="S164" s="224"/>
    </row>
    <row r="165" spans="14:19" ht="15.75" customHeight="1">
      <c r="N165" s="220"/>
      <c r="O165" s="225"/>
      <c r="P165" s="222"/>
      <c r="Q165" s="225"/>
      <c r="R165" s="226"/>
      <c r="S165" s="224"/>
    </row>
    <row r="166" spans="14:19" ht="15.75" customHeight="1">
      <c r="N166" s="220"/>
      <c r="O166" s="221"/>
      <c r="P166" s="222"/>
      <c r="Q166" s="221"/>
      <c r="R166" s="223"/>
      <c r="S166" s="224"/>
    </row>
    <row r="167" spans="14:19" ht="15.75" customHeight="1">
      <c r="N167" s="220"/>
      <c r="O167" s="225"/>
      <c r="P167" s="222"/>
      <c r="Q167" s="225"/>
      <c r="R167" s="226"/>
      <c r="S167" s="224"/>
    </row>
    <row r="168" spans="14:19" ht="15.75" customHeight="1">
      <c r="N168" s="220"/>
      <c r="O168" s="225"/>
      <c r="P168" s="222"/>
      <c r="Q168" s="225"/>
      <c r="R168" s="226"/>
      <c r="S168" s="224"/>
    </row>
    <row r="169" spans="14:19" ht="15.75" customHeight="1">
      <c r="N169" s="220"/>
      <c r="O169" s="225"/>
      <c r="P169" s="222"/>
      <c r="Q169" s="225"/>
      <c r="R169" s="226"/>
      <c r="S169" s="224"/>
    </row>
    <row r="170" spans="14:19" ht="15.75" customHeight="1">
      <c r="N170" s="220"/>
      <c r="O170" s="225"/>
      <c r="P170" s="222"/>
      <c r="Q170" s="225"/>
      <c r="R170" s="226"/>
      <c r="S170" s="224"/>
    </row>
    <row r="171" spans="14:19" ht="15.75" customHeight="1">
      <c r="N171" s="220"/>
      <c r="O171" s="225"/>
      <c r="P171" s="222"/>
      <c r="Q171" s="225"/>
      <c r="R171" s="226"/>
      <c r="S171" s="224"/>
    </row>
    <row r="172" spans="14:19" ht="15.75" customHeight="1">
      <c r="N172" s="220"/>
      <c r="O172" s="221"/>
      <c r="P172" s="222"/>
      <c r="Q172" s="221"/>
      <c r="R172" s="223"/>
      <c r="S172" s="224"/>
    </row>
    <row r="173" spans="14:19" ht="15.75" customHeight="1">
      <c r="N173" s="220"/>
      <c r="O173" s="225"/>
      <c r="P173" s="222"/>
      <c r="Q173" s="225"/>
      <c r="R173" s="226"/>
      <c r="S173" s="224"/>
    </row>
    <row r="174" spans="14:19" ht="15.75" customHeight="1">
      <c r="N174" s="220"/>
      <c r="O174" s="225"/>
      <c r="P174" s="222"/>
      <c r="Q174" s="225"/>
      <c r="R174" s="226"/>
      <c r="S174" s="224"/>
    </row>
    <row r="175" spans="14:19" ht="15.75" customHeight="1">
      <c r="N175" s="220"/>
      <c r="O175" s="225"/>
      <c r="P175" s="222"/>
      <c r="Q175" s="225"/>
      <c r="R175" s="226"/>
      <c r="S175" s="224"/>
    </row>
    <row r="176" spans="14:19" ht="15.75" customHeight="1">
      <c r="N176" s="220"/>
      <c r="O176" s="225"/>
      <c r="P176" s="222"/>
      <c r="Q176" s="225"/>
      <c r="R176" s="226"/>
      <c r="S176" s="224"/>
    </row>
    <row r="177" spans="14:19" ht="15.75" customHeight="1">
      <c r="N177" s="220"/>
      <c r="O177" s="225"/>
      <c r="P177" s="222"/>
      <c r="Q177" s="225"/>
      <c r="R177" s="226"/>
      <c r="S177" s="224"/>
    </row>
    <row r="178" spans="14:19" ht="15.75" customHeight="1">
      <c r="N178" s="220"/>
      <c r="O178" s="221"/>
      <c r="P178" s="222"/>
      <c r="Q178" s="221"/>
      <c r="R178" s="223"/>
      <c r="S178" s="224"/>
    </row>
    <row r="179" spans="14:19" ht="15.75" customHeight="1">
      <c r="N179" s="220"/>
      <c r="O179" s="225"/>
      <c r="P179" s="222"/>
      <c r="Q179" s="225"/>
      <c r="R179" s="226"/>
      <c r="S179" s="224"/>
    </row>
    <row r="180" spans="14:19" ht="15.75" customHeight="1">
      <c r="N180" s="220"/>
      <c r="O180" s="225"/>
      <c r="P180" s="222"/>
      <c r="Q180" s="225"/>
      <c r="R180" s="226"/>
      <c r="S180" s="224"/>
    </row>
    <row r="181" spans="14:19" ht="15.75" customHeight="1">
      <c r="N181" s="220"/>
      <c r="O181" s="225"/>
      <c r="P181" s="222"/>
      <c r="Q181" s="225"/>
      <c r="R181" s="226"/>
      <c r="S181" s="224"/>
    </row>
    <row r="182" spans="14:19" ht="15.75" customHeight="1">
      <c r="N182" s="220"/>
      <c r="O182" s="225"/>
      <c r="P182" s="222"/>
      <c r="Q182" s="225"/>
      <c r="R182" s="226"/>
      <c r="S182" s="224"/>
    </row>
    <row r="183" spans="14:19" ht="15.75" customHeight="1">
      <c r="N183" s="220"/>
      <c r="O183" s="225"/>
      <c r="P183" s="222"/>
      <c r="Q183" s="225"/>
      <c r="R183" s="226"/>
      <c r="S183" s="224"/>
    </row>
    <row r="184" spans="14:19" ht="15.75" customHeight="1">
      <c r="N184" s="220"/>
      <c r="O184" s="221"/>
      <c r="P184" s="222"/>
      <c r="Q184" s="221"/>
      <c r="R184" s="223"/>
      <c r="S184" s="224"/>
    </row>
    <row r="185" spans="14:19" ht="15.75" customHeight="1">
      <c r="N185" s="220"/>
      <c r="O185" s="225"/>
      <c r="P185" s="222"/>
      <c r="Q185" s="225"/>
      <c r="R185" s="226"/>
      <c r="S185" s="224"/>
    </row>
    <row r="186" spans="14:19" ht="15.75" customHeight="1">
      <c r="N186" s="220"/>
      <c r="O186" s="225"/>
      <c r="P186" s="222"/>
      <c r="Q186" s="225"/>
      <c r="R186" s="226"/>
      <c r="S186" s="224"/>
    </row>
    <row r="187" spans="14:19" ht="15.75" customHeight="1">
      <c r="N187" s="220"/>
      <c r="O187" s="221"/>
      <c r="P187" s="222"/>
      <c r="Q187" s="221"/>
      <c r="R187" s="223"/>
      <c r="S187" s="224"/>
    </row>
    <row r="188" spans="14:19" ht="15.75" customHeight="1">
      <c r="N188" s="220"/>
      <c r="O188" s="225"/>
      <c r="P188" s="222"/>
      <c r="Q188" s="225"/>
      <c r="R188" s="226"/>
      <c r="S188" s="224"/>
    </row>
    <row r="189" spans="14:19" ht="15.75" customHeight="1">
      <c r="N189" s="220"/>
      <c r="O189" s="225"/>
      <c r="P189" s="222"/>
      <c r="Q189" s="225"/>
      <c r="R189" s="226"/>
      <c r="S189" s="224"/>
    </row>
    <row r="190" spans="14:19" ht="15.75" customHeight="1">
      <c r="N190" s="220"/>
      <c r="O190" s="225"/>
      <c r="P190" s="222"/>
      <c r="Q190" s="225"/>
      <c r="R190" s="226"/>
      <c r="S190" s="224"/>
    </row>
    <row r="191" spans="14:19" ht="15.75" customHeight="1">
      <c r="N191" s="220"/>
      <c r="O191" s="225"/>
      <c r="P191" s="222"/>
      <c r="Q191" s="225"/>
      <c r="R191" s="226"/>
      <c r="S191" s="224"/>
    </row>
    <row r="192" spans="14:19" ht="15.75" customHeight="1">
      <c r="N192" s="220"/>
      <c r="O192" s="225"/>
      <c r="P192" s="222"/>
      <c r="Q192" s="225"/>
      <c r="R192" s="226"/>
      <c r="S192" s="224"/>
    </row>
    <row r="193" spans="14:19" ht="15.75" customHeight="1">
      <c r="N193" s="220"/>
      <c r="O193" s="225"/>
      <c r="P193" s="222"/>
      <c r="Q193" s="225"/>
      <c r="R193" s="226"/>
      <c r="S193" s="224"/>
    </row>
    <row r="194" spans="14:19" ht="15.75" customHeight="1">
      <c r="N194" s="220"/>
      <c r="O194" s="221"/>
      <c r="P194" s="222"/>
      <c r="Q194" s="221"/>
      <c r="R194" s="223"/>
      <c r="S194" s="224"/>
    </row>
    <row r="195" spans="14:19" ht="15.75" customHeight="1">
      <c r="N195" s="220"/>
      <c r="O195" s="225"/>
      <c r="P195" s="222"/>
      <c r="Q195" s="225"/>
      <c r="R195" s="226"/>
      <c r="S195" s="224"/>
    </row>
    <row r="196" spans="14:19" ht="15.75" customHeight="1">
      <c r="N196" s="220"/>
      <c r="O196" s="225"/>
      <c r="P196" s="222"/>
      <c r="Q196" s="225"/>
      <c r="R196" s="226"/>
      <c r="S196" s="224"/>
    </row>
    <row r="197" spans="14:19" ht="15.75" customHeight="1">
      <c r="N197" s="220"/>
      <c r="O197" s="225"/>
      <c r="P197" s="222"/>
      <c r="Q197" s="225"/>
      <c r="R197" s="226"/>
      <c r="S197" s="224"/>
    </row>
    <row r="198" spans="14:19" ht="15.75" customHeight="1">
      <c r="N198" s="220"/>
      <c r="O198" s="225"/>
      <c r="P198" s="222"/>
      <c r="Q198" s="225"/>
      <c r="R198" s="226"/>
      <c r="S198" s="224"/>
    </row>
    <row r="199" spans="14:19" ht="15.75" customHeight="1">
      <c r="N199" s="220"/>
      <c r="O199" s="225"/>
      <c r="P199" s="222"/>
      <c r="Q199" s="225"/>
      <c r="R199" s="226"/>
      <c r="S199" s="224"/>
    </row>
    <row r="200" spans="14:19" ht="15.75" customHeight="1">
      <c r="N200" s="220"/>
      <c r="O200" s="221"/>
      <c r="P200" s="222"/>
      <c r="Q200" s="221"/>
      <c r="R200" s="223"/>
      <c r="S200" s="224"/>
    </row>
    <row r="201" spans="14:19" ht="15.75" customHeight="1">
      <c r="N201" s="220"/>
      <c r="O201" s="225"/>
      <c r="P201" s="222"/>
      <c r="Q201" s="225"/>
      <c r="R201" s="226"/>
      <c r="S201" s="224"/>
    </row>
    <row r="202" spans="14:19" ht="15.75" customHeight="1">
      <c r="N202" s="220"/>
      <c r="O202" s="225"/>
      <c r="P202" s="222"/>
      <c r="Q202" s="225"/>
      <c r="R202" s="226"/>
      <c r="S202" s="224"/>
    </row>
    <row r="203" spans="14:19" ht="15.75" customHeight="1">
      <c r="N203" s="220"/>
      <c r="O203" s="225"/>
      <c r="P203" s="222"/>
      <c r="Q203" s="225"/>
      <c r="R203" s="226"/>
      <c r="S203" s="224"/>
    </row>
    <row r="204" spans="14:19" ht="15.75" customHeight="1">
      <c r="N204" s="220"/>
      <c r="O204" s="225"/>
      <c r="P204" s="222"/>
      <c r="Q204" s="225"/>
      <c r="R204" s="226"/>
      <c r="S204" s="224"/>
    </row>
    <row r="205" spans="14:19" ht="15.75" customHeight="1">
      <c r="N205" s="220"/>
      <c r="O205" s="225"/>
      <c r="P205" s="222"/>
      <c r="Q205" s="225"/>
      <c r="R205" s="226"/>
      <c r="S205" s="224"/>
    </row>
    <row r="206" spans="14:19" ht="15.75" customHeight="1">
      <c r="N206" s="220"/>
      <c r="O206" s="225"/>
      <c r="P206" s="222"/>
      <c r="Q206" s="225"/>
      <c r="R206" s="226"/>
      <c r="S206" s="224"/>
    </row>
    <row r="207" spans="14:19" ht="15.75" customHeight="1">
      <c r="N207" s="220"/>
      <c r="O207" s="225"/>
      <c r="P207" s="222"/>
      <c r="Q207" s="225"/>
      <c r="R207" s="226"/>
      <c r="S207" s="224"/>
    </row>
    <row r="208" spans="14:19" ht="15.75" customHeight="1">
      <c r="N208" s="220"/>
      <c r="O208" s="221"/>
      <c r="P208" s="222"/>
      <c r="Q208" s="221"/>
      <c r="R208" s="223"/>
      <c r="S208" s="224"/>
    </row>
    <row r="209" spans="14:19" ht="15.75" customHeight="1">
      <c r="N209" s="220"/>
      <c r="O209" s="225"/>
      <c r="P209" s="222"/>
      <c r="Q209" s="225"/>
      <c r="R209" s="226"/>
      <c r="S209" s="224"/>
    </row>
    <row r="210" spans="14:19" ht="15.75" customHeight="1">
      <c r="N210" s="220"/>
      <c r="O210" s="225"/>
      <c r="P210" s="222"/>
      <c r="Q210" s="225"/>
      <c r="R210" s="226"/>
      <c r="S210" s="224"/>
    </row>
    <row r="211" spans="14:19" ht="15.75" customHeight="1">
      <c r="N211" s="220"/>
      <c r="O211" s="225"/>
      <c r="P211" s="222"/>
      <c r="Q211" s="225"/>
      <c r="R211" s="226"/>
      <c r="S211" s="224"/>
    </row>
    <row r="212" spans="14:19" ht="15.75" customHeight="1">
      <c r="N212" s="220"/>
      <c r="O212" s="225"/>
      <c r="P212" s="222"/>
      <c r="Q212" s="225"/>
      <c r="R212" s="226"/>
      <c r="S212" s="224"/>
    </row>
    <row r="213" spans="14:19" ht="15.75" customHeight="1">
      <c r="N213" s="220"/>
      <c r="O213" s="225"/>
      <c r="P213" s="222"/>
      <c r="Q213" s="225"/>
      <c r="R213" s="226"/>
      <c r="S213" s="224"/>
    </row>
    <row r="214" spans="14:19" ht="15.75" customHeight="1">
      <c r="N214" s="220"/>
      <c r="O214" s="221"/>
      <c r="P214" s="222"/>
      <c r="Q214" s="221"/>
      <c r="R214" s="223"/>
      <c r="S214" s="224"/>
    </row>
    <row r="215" spans="14:19" ht="15.75" customHeight="1">
      <c r="N215" s="220"/>
      <c r="O215" s="225"/>
      <c r="P215" s="222"/>
      <c r="Q215" s="225"/>
      <c r="R215" s="226"/>
      <c r="S215" s="224"/>
    </row>
    <row r="216" spans="14:19" ht="15.75" customHeight="1">
      <c r="N216" s="220"/>
      <c r="O216" s="225"/>
      <c r="P216" s="222"/>
      <c r="Q216" s="225"/>
      <c r="R216" s="226"/>
      <c r="S216" s="224"/>
    </row>
    <row r="217" spans="14:19" ht="15.75" customHeight="1">
      <c r="N217" s="220"/>
      <c r="O217" s="225"/>
      <c r="P217" s="222"/>
      <c r="Q217" s="225"/>
      <c r="R217" s="226"/>
      <c r="S217" s="224"/>
    </row>
    <row r="218" spans="14:19" ht="15.75" customHeight="1">
      <c r="N218" s="220"/>
      <c r="O218" s="225"/>
      <c r="P218" s="222"/>
      <c r="Q218" s="225"/>
      <c r="R218" s="226"/>
      <c r="S218" s="224"/>
    </row>
    <row r="219" spans="14:19" ht="15.75" customHeight="1">
      <c r="N219" s="220"/>
      <c r="O219" s="225"/>
      <c r="P219" s="222"/>
      <c r="Q219" s="225"/>
      <c r="R219" s="226"/>
      <c r="S219" s="224"/>
    </row>
    <row r="220" spans="14:19" ht="15.75" customHeight="1">
      <c r="N220" s="220"/>
      <c r="O220" s="221"/>
      <c r="P220" s="222"/>
      <c r="Q220" s="221"/>
      <c r="R220" s="223"/>
      <c r="S220" s="224"/>
    </row>
    <row r="221" spans="14:19" ht="15.75" customHeight="1">
      <c r="N221" s="220"/>
      <c r="O221" s="225"/>
      <c r="P221" s="222"/>
      <c r="Q221" s="225"/>
      <c r="R221" s="226"/>
      <c r="S221" s="224"/>
    </row>
    <row r="222" spans="14:19" ht="15.75" customHeight="1">
      <c r="N222" s="220"/>
      <c r="O222" s="225"/>
      <c r="P222" s="222"/>
      <c r="Q222" s="225"/>
      <c r="R222" s="226"/>
      <c r="S222" s="224"/>
    </row>
    <row r="223" spans="14:19" ht="15.75" customHeight="1">
      <c r="N223" s="220"/>
      <c r="O223" s="225"/>
      <c r="P223" s="222"/>
      <c r="Q223" s="225"/>
      <c r="R223" s="226"/>
      <c r="S223" s="224"/>
    </row>
    <row r="224" spans="14:19" ht="15.75" customHeight="1">
      <c r="N224" s="220"/>
      <c r="O224" s="225"/>
      <c r="P224" s="222"/>
      <c r="Q224" s="225"/>
      <c r="R224" s="226"/>
      <c r="S224" s="224"/>
    </row>
    <row r="225" spans="14:19" ht="15.75" customHeight="1">
      <c r="N225" s="220"/>
      <c r="O225" s="225"/>
      <c r="P225" s="222"/>
      <c r="Q225" s="225"/>
      <c r="R225" s="226"/>
      <c r="S225" s="224"/>
    </row>
    <row r="226" spans="14:19" ht="15.75" customHeight="1">
      <c r="N226" s="220"/>
      <c r="O226" s="221"/>
      <c r="P226" s="222"/>
      <c r="Q226" s="221"/>
      <c r="R226" s="223"/>
      <c r="S226" s="224"/>
    </row>
    <row r="227" spans="14:19" ht="15.75" customHeight="1">
      <c r="N227" s="220"/>
      <c r="O227" s="225"/>
      <c r="P227" s="222"/>
      <c r="Q227" s="225"/>
      <c r="R227" s="226"/>
      <c r="S227" s="224"/>
    </row>
    <row r="228" spans="14:19" ht="15.75" customHeight="1">
      <c r="N228" s="220"/>
      <c r="O228" s="225"/>
      <c r="P228" s="222"/>
      <c r="Q228" s="225"/>
      <c r="R228" s="226"/>
      <c r="S228" s="224"/>
    </row>
    <row r="229" spans="14:19" ht="15.75" customHeight="1">
      <c r="N229" s="220"/>
      <c r="O229" s="221"/>
      <c r="P229" s="222"/>
      <c r="Q229" s="221"/>
      <c r="R229" s="223"/>
      <c r="S229" s="224"/>
    </row>
    <row r="230" spans="14:19" ht="15.75" customHeight="1">
      <c r="N230" s="220"/>
      <c r="O230" s="225"/>
      <c r="P230" s="222"/>
      <c r="Q230" s="225"/>
      <c r="R230" s="226"/>
      <c r="S230" s="224"/>
    </row>
    <row r="231" spans="14:19" ht="15.75" customHeight="1">
      <c r="N231" s="220"/>
      <c r="O231" s="225"/>
      <c r="P231" s="222"/>
      <c r="Q231" s="225"/>
      <c r="R231" s="226"/>
      <c r="S231" s="224"/>
    </row>
    <row r="232" spans="14:19" ht="15.75" customHeight="1">
      <c r="N232" s="220"/>
      <c r="O232" s="225"/>
      <c r="P232" s="222"/>
      <c r="Q232" s="225"/>
      <c r="R232" s="226"/>
      <c r="S232" s="224"/>
    </row>
    <row r="233" spans="14:19" ht="15.75" customHeight="1">
      <c r="N233" s="220"/>
      <c r="O233" s="225"/>
      <c r="P233" s="222"/>
      <c r="Q233" s="225"/>
      <c r="R233" s="226"/>
      <c r="S233" s="224"/>
    </row>
    <row r="234" spans="14:19" ht="15.75" customHeight="1">
      <c r="N234" s="220"/>
      <c r="O234" s="225"/>
      <c r="P234" s="222"/>
      <c r="Q234" s="225"/>
      <c r="R234" s="226"/>
      <c r="S234" s="224"/>
    </row>
    <row r="235" spans="14:19" ht="15.75" customHeight="1">
      <c r="N235" s="220"/>
      <c r="O235" s="225"/>
      <c r="P235" s="222"/>
      <c r="Q235" s="225"/>
      <c r="R235" s="226"/>
      <c r="S235" s="224"/>
    </row>
    <row r="236" spans="14:19" ht="15.75" customHeight="1">
      <c r="N236" s="220"/>
      <c r="O236" s="221"/>
      <c r="P236" s="222"/>
      <c r="Q236" s="221"/>
      <c r="R236" s="223"/>
      <c r="S236" s="224"/>
    </row>
    <row r="237" spans="14:19" ht="15.75" customHeight="1">
      <c r="N237" s="220"/>
      <c r="O237" s="225"/>
      <c r="P237" s="222"/>
      <c r="Q237" s="225"/>
      <c r="R237" s="226"/>
      <c r="S237" s="224"/>
    </row>
    <row r="238" spans="14:19" ht="15.75" customHeight="1">
      <c r="N238" s="220"/>
      <c r="O238" s="225"/>
      <c r="P238" s="222"/>
      <c r="Q238" s="225"/>
      <c r="R238" s="226"/>
      <c r="S238" s="224"/>
    </row>
    <row r="239" spans="14:19" ht="15.75" customHeight="1">
      <c r="N239" s="220"/>
      <c r="O239" s="225"/>
      <c r="P239" s="222"/>
      <c r="Q239" s="225"/>
      <c r="R239" s="226"/>
      <c r="S239" s="224"/>
    </row>
    <row r="240" spans="14:19" ht="15.75" customHeight="1">
      <c r="N240" s="220"/>
      <c r="O240" s="225"/>
      <c r="P240" s="222"/>
      <c r="Q240" s="225"/>
      <c r="R240" s="226"/>
      <c r="S240" s="224"/>
    </row>
    <row r="241" spans="14:19" ht="15.75" customHeight="1">
      <c r="N241" s="220"/>
      <c r="O241" s="225"/>
      <c r="P241" s="222"/>
      <c r="Q241" s="225"/>
      <c r="R241" s="226"/>
      <c r="S241" s="224"/>
    </row>
    <row r="242" spans="14:19" ht="15.75" customHeight="1">
      <c r="N242" s="220"/>
      <c r="O242" s="221"/>
      <c r="P242" s="222"/>
      <c r="Q242" s="221"/>
      <c r="R242" s="223"/>
      <c r="S242" s="224"/>
    </row>
    <row r="243" spans="14:19" ht="15.75" customHeight="1">
      <c r="N243" s="220"/>
      <c r="O243" s="225"/>
      <c r="P243" s="222"/>
      <c r="Q243" s="225"/>
      <c r="R243" s="226"/>
      <c r="S243" s="224"/>
    </row>
    <row r="244" spans="14:19" ht="15.75" customHeight="1">
      <c r="N244" s="220"/>
      <c r="O244" s="225"/>
      <c r="P244" s="222"/>
      <c r="Q244" s="225"/>
      <c r="R244" s="226"/>
      <c r="S244" s="224"/>
    </row>
    <row r="245" spans="14:19" ht="15.75" customHeight="1">
      <c r="N245" s="220"/>
      <c r="O245" s="225"/>
      <c r="P245" s="222"/>
      <c r="Q245" s="225"/>
      <c r="R245" s="226"/>
      <c r="S245" s="224"/>
    </row>
    <row r="246" spans="14:19" ht="15.75" customHeight="1">
      <c r="N246" s="220"/>
      <c r="O246" s="225"/>
      <c r="P246" s="222"/>
      <c r="Q246" s="225"/>
      <c r="R246" s="226"/>
      <c r="S246" s="224"/>
    </row>
    <row r="247" spans="14:19" ht="15.75" customHeight="1">
      <c r="N247" s="220"/>
      <c r="O247" s="225"/>
      <c r="P247" s="222"/>
      <c r="Q247" s="225"/>
      <c r="R247" s="226"/>
      <c r="S247" s="224"/>
    </row>
    <row r="248" spans="14:19" ht="15.75" customHeight="1">
      <c r="N248" s="220"/>
      <c r="O248" s="225"/>
      <c r="P248" s="222"/>
      <c r="Q248" s="225"/>
      <c r="R248" s="226"/>
      <c r="S248" s="224"/>
    </row>
    <row r="249" spans="14:19" ht="15.75" customHeight="1">
      <c r="N249" s="220"/>
      <c r="O249" s="225"/>
      <c r="P249" s="222"/>
      <c r="Q249" s="225"/>
      <c r="R249" s="226"/>
      <c r="S249" s="224"/>
    </row>
    <row r="250" spans="14:19" ht="15.75" customHeight="1">
      <c r="N250" s="220"/>
      <c r="O250" s="221"/>
      <c r="P250" s="222"/>
      <c r="Q250" s="221"/>
      <c r="R250" s="223"/>
      <c r="S250" s="224"/>
    </row>
    <row r="251" spans="14:19" ht="15.75" customHeight="1">
      <c r="N251" s="220"/>
      <c r="O251" s="225"/>
      <c r="P251" s="222"/>
      <c r="Q251" s="225"/>
      <c r="R251" s="226"/>
      <c r="S251" s="224"/>
    </row>
    <row r="252" spans="14:19" ht="15.75" customHeight="1">
      <c r="N252" s="220"/>
      <c r="O252" s="225"/>
      <c r="P252" s="222"/>
      <c r="Q252" s="225"/>
      <c r="R252" s="226"/>
      <c r="S252" s="224"/>
    </row>
    <row r="253" spans="14:19" ht="15.75" customHeight="1">
      <c r="N253" s="220"/>
      <c r="O253" s="225"/>
      <c r="P253" s="222"/>
      <c r="Q253" s="225"/>
      <c r="R253" s="226"/>
      <c r="S253" s="224"/>
    </row>
    <row r="254" spans="14:19" ht="15.75" customHeight="1">
      <c r="N254" s="220"/>
      <c r="O254" s="225"/>
      <c r="P254" s="222"/>
      <c r="Q254" s="225"/>
      <c r="R254" s="226"/>
      <c r="S254" s="224"/>
    </row>
    <row r="255" spans="14:19" ht="15.75" customHeight="1">
      <c r="N255" s="220"/>
      <c r="O255" s="225"/>
      <c r="P255" s="222"/>
      <c r="Q255" s="225"/>
      <c r="R255" s="226"/>
      <c r="S255" s="224"/>
    </row>
    <row r="256" spans="14:19" ht="15.75" customHeight="1">
      <c r="N256" s="220"/>
      <c r="O256" s="221"/>
      <c r="P256" s="222"/>
      <c r="Q256" s="221"/>
      <c r="R256" s="223"/>
      <c r="S256" s="224"/>
    </row>
    <row r="257" spans="14:19" ht="15.75" customHeight="1">
      <c r="N257" s="220"/>
      <c r="O257" s="225"/>
      <c r="P257" s="222"/>
      <c r="Q257" s="225"/>
      <c r="R257" s="226"/>
      <c r="S257" s="224"/>
    </row>
    <row r="258" spans="14:19" ht="15.75" customHeight="1">
      <c r="N258" s="220"/>
      <c r="O258" s="225"/>
      <c r="P258" s="222"/>
      <c r="Q258" s="225"/>
      <c r="R258" s="226"/>
      <c r="S258" s="224"/>
    </row>
    <row r="259" spans="14:19" ht="15.75" customHeight="1">
      <c r="N259" s="220"/>
      <c r="O259" s="225"/>
      <c r="P259" s="222"/>
      <c r="Q259" s="225"/>
      <c r="R259" s="226"/>
      <c r="S259" s="224"/>
    </row>
    <row r="260" spans="14:19" ht="15.75" customHeight="1">
      <c r="N260" s="220"/>
      <c r="O260" s="225"/>
      <c r="P260" s="222"/>
      <c r="Q260" s="225"/>
      <c r="R260" s="226"/>
      <c r="S260" s="224"/>
    </row>
    <row r="261" spans="14:19" ht="15.75" customHeight="1">
      <c r="N261" s="220"/>
      <c r="O261" s="225"/>
      <c r="P261" s="222"/>
      <c r="Q261" s="225"/>
      <c r="R261" s="226"/>
      <c r="S261" s="224"/>
    </row>
    <row r="262" spans="14:19" ht="15.75" customHeight="1">
      <c r="N262" s="220"/>
      <c r="O262" s="221"/>
      <c r="P262" s="222"/>
      <c r="Q262" s="221"/>
      <c r="R262" s="223"/>
      <c r="S262" s="224"/>
    </row>
    <row r="263" spans="14:19" ht="15.75" customHeight="1">
      <c r="N263" s="220"/>
      <c r="O263" s="225"/>
      <c r="P263" s="222"/>
      <c r="Q263" s="225"/>
      <c r="R263" s="226"/>
      <c r="S263" s="224"/>
    </row>
    <row r="264" spans="14:19" ht="15.75" customHeight="1">
      <c r="N264" s="220"/>
      <c r="O264" s="225"/>
      <c r="P264" s="222"/>
      <c r="Q264" s="225"/>
      <c r="R264" s="226"/>
      <c r="S264" s="224"/>
    </row>
    <row r="265" spans="14:19" ht="15.75" customHeight="1">
      <c r="N265" s="220"/>
      <c r="O265" s="225"/>
      <c r="P265" s="222"/>
      <c r="Q265" s="225"/>
      <c r="R265" s="226"/>
      <c r="S265" s="224"/>
    </row>
    <row r="266" spans="14:19" ht="15.75" customHeight="1">
      <c r="N266" s="220"/>
      <c r="O266" s="225"/>
      <c r="P266" s="222"/>
      <c r="Q266" s="225"/>
      <c r="R266" s="226"/>
      <c r="S266" s="224"/>
    </row>
    <row r="267" spans="14:19" ht="15.75" customHeight="1">
      <c r="N267" s="220"/>
      <c r="O267" s="225"/>
      <c r="P267" s="222"/>
      <c r="Q267" s="225"/>
      <c r="R267" s="226"/>
      <c r="S267" s="224"/>
    </row>
    <row r="268" spans="14:19" ht="15.75" customHeight="1">
      <c r="N268" s="220"/>
      <c r="O268" s="221"/>
      <c r="P268" s="222"/>
      <c r="Q268" s="221"/>
      <c r="R268" s="223"/>
      <c r="S268" s="224"/>
    </row>
    <row r="269" spans="14:19" ht="15.75" customHeight="1">
      <c r="N269" s="220"/>
      <c r="O269" s="225"/>
      <c r="P269" s="222"/>
      <c r="Q269" s="225"/>
      <c r="R269" s="226"/>
      <c r="S269" s="224"/>
    </row>
    <row r="270" spans="14:19" ht="15.75" customHeight="1">
      <c r="N270" s="220"/>
      <c r="O270" s="225"/>
      <c r="P270" s="222"/>
      <c r="Q270" s="225"/>
      <c r="R270" s="226"/>
      <c r="S270" s="224"/>
    </row>
    <row r="271" spans="14:19" ht="15.75" customHeight="1">
      <c r="N271" s="220"/>
      <c r="O271" s="221"/>
      <c r="P271" s="222"/>
      <c r="Q271" s="221"/>
      <c r="R271" s="223"/>
      <c r="S271" s="224"/>
    </row>
    <row r="272" spans="14:19" ht="15.75" customHeight="1">
      <c r="N272" s="220"/>
      <c r="O272" s="225"/>
      <c r="P272" s="222"/>
      <c r="Q272" s="225"/>
      <c r="R272" s="226"/>
      <c r="S272" s="224"/>
    </row>
    <row r="273" spans="14:19" ht="15.75" customHeight="1">
      <c r="N273" s="220"/>
      <c r="O273" s="225"/>
      <c r="P273" s="222"/>
      <c r="Q273" s="225"/>
      <c r="R273" s="226"/>
      <c r="S273" s="224"/>
    </row>
    <row r="274" spans="14:19" ht="15.75" customHeight="1">
      <c r="N274" s="220"/>
      <c r="O274" s="225"/>
      <c r="P274" s="222"/>
      <c r="Q274" s="225"/>
      <c r="R274" s="226"/>
      <c r="S274" s="224"/>
    </row>
    <row r="275" spans="14:19" ht="15.75" customHeight="1">
      <c r="N275" s="220"/>
      <c r="O275" s="225"/>
      <c r="P275" s="222"/>
      <c r="Q275" s="225"/>
      <c r="R275" s="226"/>
      <c r="S275" s="224"/>
    </row>
    <row r="276" spans="14:19" ht="15.75" customHeight="1">
      <c r="N276" s="220"/>
      <c r="O276" s="225"/>
      <c r="P276" s="222"/>
      <c r="Q276" s="225"/>
      <c r="R276" s="226"/>
      <c r="S276" s="224"/>
    </row>
    <row r="277" spans="14:19" ht="15.75" customHeight="1">
      <c r="N277" s="220"/>
      <c r="O277" s="225"/>
      <c r="P277" s="222"/>
      <c r="Q277" s="225"/>
      <c r="R277" s="226"/>
      <c r="S277" s="224"/>
    </row>
    <row r="278" spans="14:19" ht="15.75" customHeight="1">
      <c r="N278" s="220"/>
      <c r="O278" s="221"/>
      <c r="P278" s="222"/>
      <c r="Q278" s="221"/>
      <c r="R278" s="223"/>
      <c r="S278" s="224"/>
    </row>
    <row r="279" spans="14:19" ht="15.75" customHeight="1">
      <c r="N279" s="220"/>
      <c r="O279" s="225"/>
      <c r="P279" s="222"/>
      <c r="Q279" s="225"/>
      <c r="R279" s="226"/>
      <c r="S279" s="224"/>
    </row>
    <row r="280" spans="14:19" ht="15.75" customHeight="1">
      <c r="N280" s="220"/>
      <c r="O280" s="225"/>
      <c r="P280" s="222"/>
      <c r="Q280" s="225"/>
      <c r="R280" s="226"/>
      <c r="S280" s="224"/>
    </row>
    <row r="281" spans="14:19" ht="15.75" customHeight="1">
      <c r="N281" s="220"/>
      <c r="O281" s="225"/>
      <c r="P281" s="222"/>
      <c r="Q281" s="225"/>
      <c r="R281" s="226"/>
      <c r="S281" s="224"/>
    </row>
    <row r="282" spans="14:19" ht="15.75" customHeight="1">
      <c r="N282" s="220"/>
      <c r="O282" s="225"/>
      <c r="P282" s="222"/>
      <c r="Q282" s="225"/>
      <c r="R282" s="226"/>
      <c r="S282" s="224"/>
    </row>
    <row r="283" spans="14:19" ht="15.75" customHeight="1">
      <c r="N283" s="220"/>
      <c r="O283" s="225"/>
      <c r="P283" s="222"/>
      <c r="Q283" s="225"/>
      <c r="R283" s="226"/>
      <c r="S283" s="224"/>
    </row>
    <row r="284" spans="14:19" ht="15.75" customHeight="1">
      <c r="N284" s="220"/>
      <c r="O284" s="221"/>
      <c r="P284" s="222"/>
      <c r="Q284" s="221"/>
      <c r="R284" s="223"/>
      <c r="S284" s="224"/>
    </row>
    <row r="285" spans="14:19" ht="15.75" customHeight="1">
      <c r="N285" s="220"/>
      <c r="O285" s="225"/>
      <c r="P285" s="222"/>
      <c r="Q285" s="225"/>
      <c r="R285" s="226"/>
      <c r="S285" s="224"/>
    </row>
    <row r="286" spans="14:19" ht="15.75" customHeight="1">
      <c r="N286" s="220"/>
      <c r="O286" s="225"/>
      <c r="P286" s="222"/>
      <c r="Q286" s="225"/>
      <c r="R286" s="226"/>
      <c r="S286" s="224"/>
    </row>
    <row r="287" spans="14:19" ht="15.75" customHeight="1">
      <c r="N287" s="220"/>
      <c r="O287" s="225"/>
      <c r="P287" s="222"/>
      <c r="Q287" s="225"/>
      <c r="R287" s="226"/>
      <c r="S287" s="224"/>
    </row>
    <row r="288" spans="14:19" ht="15.75" customHeight="1">
      <c r="N288" s="220"/>
      <c r="O288" s="225"/>
      <c r="P288" s="222"/>
      <c r="Q288" s="225"/>
      <c r="R288" s="226"/>
      <c r="S288" s="224"/>
    </row>
    <row r="289" spans="14:19" ht="15.75" customHeight="1">
      <c r="N289" s="220"/>
      <c r="O289" s="225"/>
      <c r="P289" s="222"/>
      <c r="Q289" s="225"/>
      <c r="R289" s="226"/>
      <c r="S289" s="224"/>
    </row>
    <row r="290" spans="14:19" ht="15.75" customHeight="1">
      <c r="N290" s="220"/>
      <c r="O290" s="225"/>
      <c r="P290" s="222"/>
      <c r="Q290" s="225"/>
      <c r="R290" s="226"/>
      <c r="S290" s="224"/>
    </row>
    <row r="291" spans="14:19" ht="15.75" customHeight="1">
      <c r="N291" s="220"/>
      <c r="O291" s="225"/>
      <c r="P291" s="222"/>
      <c r="Q291" s="225"/>
      <c r="R291" s="226"/>
      <c r="S291" s="224"/>
    </row>
    <row r="292" spans="14:19" ht="15.75" customHeight="1">
      <c r="N292" s="220"/>
      <c r="O292" s="221"/>
      <c r="P292" s="222"/>
      <c r="Q292" s="221"/>
      <c r="R292" s="223"/>
      <c r="S292" s="224"/>
    </row>
    <row r="293" spans="14:19" ht="15.75" customHeight="1">
      <c r="N293" s="220"/>
      <c r="O293" s="225"/>
      <c r="P293" s="222"/>
      <c r="Q293" s="225"/>
      <c r="R293" s="226"/>
      <c r="S293" s="224"/>
    </row>
    <row r="294" spans="14:19" ht="15.75" customHeight="1">
      <c r="N294" s="220"/>
      <c r="O294" s="225"/>
      <c r="P294" s="222"/>
      <c r="Q294" s="225"/>
      <c r="R294" s="226"/>
      <c r="S294" s="224"/>
    </row>
    <row r="295" spans="14:19" ht="15.75" customHeight="1">
      <c r="N295" s="220"/>
      <c r="O295" s="225"/>
      <c r="P295" s="222"/>
      <c r="Q295" s="225"/>
      <c r="R295" s="226"/>
      <c r="S295" s="224"/>
    </row>
    <row r="296" spans="14:19" ht="15.75" customHeight="1">
      <c r="N296" s="220"/>
      <c r="O296" s="225"/>
      <c r="P296" s="222"/>
      <c r="Q296" s="225"/>
      <c r="R296" s="226"/>
      <c r="S296" s="224"/>
    </row>
    <row r="297" spans="14:19" ht="15.75" customHeight="1">
      <c r="N297" s="220"/>
      <c r="O297" s="225"/>
      <c r="P297" s="222"/>
      <c r="Q297" s="225"/>
      <c r="R297" s="226"/>
      <c r="S297" s="224"/>
    </row>
    <row r="298" spans="14:19" ht="15.75" customHeight="1">
      <c r="N298" s="220"/>
      <c r="O298" s="221"/>
      <c r="P298" s="222"/>
      <c r="Q298" s="221"/>
      <c r="R298" s="223"/>
      <c r="S298" s="224"/>
    </row>
    <row r="299" spans="14:19" ht="15.75" customHeight="1">
      <c r="N299" s="220"/>
      <c r="O299" s="225"/>
      <c r="P299" s="222"/>
      <c r="Q299" s="225"/>
      <c r="R299" s="226"/>
      <c r="S299" s="224"/>
    </row>
    <row r="300" spans="14:19" ht="15.75" customHeight="1">
      <c r="N300" s="220"/>
      <c r="O300" s="225"/>
      <c r="P300" s="222"/>
      <c r="Q300" s="225"/>
      <c r="R300" s="226"/>
      <c r="S300" s="224"/>
    </row>
    <row r="301" spans="14:19" ht="15.75" customHeight="1">
      <c r="N301" s="220"/>
      <c r="O301" s="225"/>
      <c r="P301" s="222"/>
      <c r="Q301" s="225"/>
      <c r="R301" s="226"/>
      <c r="S301" s="224"/>
    </row>
    <row r="302" spans="14:19" ht="15.75" customHeight="1">
      <c r="N302" s="220"/>
      <c r="O302" s="225"/>
      <c r="P302" s="222"/>
      <c r="Q302" s="225"/>
      <c r="R302" s="226"/>
      <c r="S302" s="224"/>
    </row>
    <row r="303" spans="14:19" ht="15.75" customHeight="1">
      <c r="N303" s="220"/>
      <c r="O303" s="225"/>
      <c r="P303" s="222"/>
      <c r="Q303" s="225"/>
      <c r="R303" s="226"/>
      <c r="S303" s="224"/>
    </row>
    <row r="304" spans="14:19" ht="15.75" customHeight="1">
      <c r="N304" s="220"/>
      <c r="O304" s="221"/>
      <c r="P304" s="222"/>
      <c r="Q304" s="221"/>
      <c r="R304" s="223"/>
      <c r="S304" s="224"/>
    </row>
    <row r="305" spans="14:19" ht="15.75" customHeight="1">
      <c r="N305" s="220"/>
      <c r="O305" s="225"/>
      <c r="P305" s="222"/>
      <c r="Q305" s="225"/>
      <c r="R305" s="226"/>
      <c r="S305" s="224"/>
    </row>
    <row r="306" spans="14:19" ht="15.75" customHeight="1">
      <c r="N306" s="220"/>
      <c r="O306" s="225"/>
      <c r="P306" s="222"/>
      <c r="Q306" s="225"/>
      <c r="R306" s="226"/>
      <c r="S306" s="224"/>
    </row>
    <row r="307" spans="14:19" ht="15.75" customHeight="1">
      <c r="N307" s="220"/>
      <c r="O307" s="225"/>
      <c r="P307" s="222"/>
      <c r="Q307" s="225"/>
      <c r="R307" s="226"/>
      <c r="S307" s="224"/>
    </row>
    <row r="308" spans="14:19" ht="15.75" customHeight="1">
      <c r="N308" s="220"/>
      <c r="O308" s="225"/>
      <c r="P308" s="222"/>
      <c r="Q308" s="225"/>
      <c r="R308" s="226"/>
      <c r="S308" s="224"/>
    </row>
    <row r="309" spans="14:19" ht="15.75" customHeight="1">
      <c r="N309" s="220"/>
      <c r="O309" s="225"/>
      <c r="P309" s="222"/>
      <c r="Q309" s="225"/>
      <c r="R309" s="226"/>
      <c r="S309" s="224"/>
    </row>
    <row r="310" spans="14:19" ht="15.75" customHeight="1">
      <c r="N310" s="220"/>
      <c r="O310" s="221"/>
      <c r="P310" s="222"/>
      <c r="Q310" s="221"/>
      <c r="R310" s="223"/>
      <c r="S310" s="224"/>
    </row>
    <row r="311" spans="14:19" ht="15.75" customHeight="1">
      <c r="N311" s="220"/>
      <c r="O311" s="225"/>
      <c r="P311" s="222"/>
      <c r="Q311" s="225"/>
      <c r="R311" s="226"/>
      <c r="S311" s="224"/>
    </row>
    <row r="312" spans="14:19" ht="15.75" customHeight="1">
      <c r="N312" s="220"/>
      <c r="O312" s="225"/>
      <c r="P312" s="222"/>
      <c r="Q312" s="225"/>
      <c r="R312" s="226"/>
      <c r="S312" s="224"/>
    </row>
    <row r="313" spans="14:19" ht="15.75" customHeight="1">
      <c r="N313" s="220"/>
      <c r="O313" s="221"/>
      <c r="P313" s="222"/>
      <c r="Q313" s="221"/>
      <c r="R313" s="223"/>
      <c r="S313" s="224"/>
    </row>
    <row r="314" spans="14:19" ht="15.75" customHeight="1">
      <c r="N314" s="220"/>
      <c r="O314" s="225"/>
      <c r="P314" s="222"/>
      <c r="Q314" s="225"/>
      <c r="R314" s="226"/>
      <c r="S314" s="224"/>
    </row>
    <row r="315" spans="14:19" ht="15.75" customHeight="1">
      <c r="N315" s="220"/>
      <c r="O315" s="225"/>
      <c r="P315" s="222"/>
      <c r="Q315" s="225"/>
      <c r="R315" s="226"/>
      <c r="S315" s="224"/>
    </row>
    <row r="316" spans="14:19" ht="15.75" customHeight="1">
      <c r="N316" s="220"/>
      <c r="O316" s="225"/>
      <c r="P316" s="222"/>
      <c r="Q316" s="225"/>
      <c r="R316" s="226"/>
      <c r="S316" s="224"/>
    </row>
    <row r="317" spans="14:19" ht="15.75" customHeight="1">
      <c r="N317" s="220"/>
      <c r="O317" s="225"/>
      <c r="P317" s="222"/>
      <c r="Q317" s="225"/>
      <c r="R317" s="226"/>
      <c r="S317" s="224"/>
    </row>
    <row r="318" spans="14:19" ht="15.75" customHeight="1">
      <c r="N318" s="220"/>
      <c r="O318" s="225"/>
      <c r="P318" s="222"/>
      <c r="Q318" s="225"/>
      <c r="R318" s="226"/>
      <c r="S318" s="224"/>
    </row>
    <row r="319" spans="14:19" ht="15.75" customHeight="1">
      <c r="N319" s="220"/>
      <c r="O319" s="225"/>
      <c r="P319" s="222"/>
      <c r="Q319" s="225"/>
      <c r="R319" s="226"/>
      <c r="S319" s="224"/>
    </row>
    <row r="320" spans="14:19" ht="15.75" customHeight="1">
      <c r="N320" s="220"/>
      <c r="O320" s="221"/>
      <c r="P320" s="222"/>
      <c r="Q320" s="221"/>
      <c r="R320" s="223"/>
      <c r="S320" s="224"/>
    </row>
    <row r="321" spans="14:19" ht="15.75" customHeight="1">
      <c r="N321" s="220"/>
      <c r="O321" s="225"/>
      <c r="P321" s="222"/>
      <c r="Q321" s="225"/>
      <c r="R321" s="226"/>
      <c r="S321" s="224"/>
    </row>
    <row r="322" spans="14:19" ht="15.75" customHeight="1">
      <c r="N322" s="220"/>
      <c r="O322" s="225"/>
      <c r="P322" s="222"/>
      <c r="Q322" s="225"/>
      <c r="R322" s="226"/>
      <c r="S322" s="224"/>
    </row>
    <row r="323" spans="14:19" ht="15.75" customHeight="1">
      <c r="N323" s="220"/>
      <c r="O323" s="225"/>
      <c r="P323" s="222"/>
      <c r="Q323" s="225"/>
      <c r="R323" s="226"/>
      <c r="S323" s="224"/>
    </row>
    <row r="324" spans="14:19" ht="15.75" customHeight="1">
      <c r="N324" s="220"/>
      <c r="O324" s="221"/>
      <c r="P324" s="222"/>
      <c r="Q324" s="221"/>
      <c r="R324" s="223"/>
      <c r="S324" s="224"/>
    </row>
    <row r="325" spans="14:19" ht="15.75" customHeight="1">
      <c r="N325" s="220"/>
      <c r="O325" s="225"/>
      <c r="P325" s="222"/>
      <c r="Q325" s="225"/>
      <c r="R325" s="226"/>
      <c r="S325" s="224"/>
    </row>
    <row r="326" spans="14:19" ht="15.75" customHeight="1">
      <c r="N326" s="220"/>
      <c r="O326" s="225"/>
      <c r="P326" s="222"/>
      <c r="Q326" s="225"/>
      <c r="R326" s="226"/>
      <c r="S326" s="224"/>
    </row>
    <row r="327" spans="14:19" ht="15.75" customHeight="1">
      <c r="N327" s="220"/>
      <c r="O327" s="225"/>
      <c r="P327" s="222"/>
      <c r="Q327" s="225"/>
      <c r="R327" s="226"/>
      <c r="S327" s="224"/>
    </row>
    <row r="328" spans="14:19" ht="15.75" customHeight="1">
      <c r="N328" s="220"/>
      <c r="O328" s="225"/>
      <c r="P328" s="222"/>
      <c r="Q328" s="225"/>
      <c r="R328" s="226"/>
      <c r="S328" s="224"/>
    </row>
    <row r="329" spans="14:19" ht="15.75" customHeight="1">
      <c r="N329" s="220"/>
      <c r="O329" s="225"/>
      <c r="P329" s="222"/>
      <c r="Q329" s="225"/>
      <c r="R329" s="226"/>
      <c r="S329" s="224"/>
    </row>
    <row r="330" spans="14:19" ht="15.75" customHeight="1">
      <c r="N330" s="220"/>
      <c r="O330" s="225"/>
      <c r="P330" s="222"/>
      <c r="Q330" s="225"/>
      <c r="R330" s="226"/>
      <c r="S330" s="224"/>
    </row>
    <row r="331" spans="14:19" ht="15.75" customHeight="1">
      <c r="N331" s="220"/>
      <c r="O331" s="221"/>
      <c r="P331" s="222"/>
      <c r="Q331" s="221"/>
      <c r="R331" s="223"/>
      <c r="S331" s="224"/>
    </row>
    <row r="332" spans="14:19" ht="15.75" customHeight="1">
      <c r="N332" s="220"/>
      <c r="O332" s="225"/>
      <c r="P332" s="222"/>
      <c r="Q332" s="225"/>
      <c r="R332" s="226"/>
      <c r="S332" s="224"/>
    </row>
    <row r="333" spans="14:19" ht="15.75" customHeight="1">
      <c r="N333" s="220"/>
      <c r="O333" s="225"/>
      <c r="P333" s="222"/>
      <c r="Q333" s="225"/>
      <c r="R333" s="226"/>
      <c r="S333" s="224"/>
    </row>
    <row r="334" spans="14:19" ht="15.75" customHeight="1">
      <c r="N334" s="220"/>
      <c r="O334" s="225"/>
      <c r="P334" s="222"/>
      <c r="Q334" s="225"/>
      <c r="R334" s="226"/>
      <c r="S334" s="224"/>
    </row>
    <row r="335" spans="14:19" ht="15.75" customHeight="1">
      <c r="N335" s="220"/>
      <c r="O335" s="225"/>
      <c r="P335" s="222"/>
      <c r="Q335" s="225"/>
      <c r="R335" s="226"/>
      <c r="S335" s="224"/>
    </row>
    <row r="336" spans="14:19" ht="15.75" customHeight="1">
      <c r="N336" s="220"/>
      <c r="O336" s="225"/>
      <c r="P336" s="222"/>
      <c r="Q336" s="225"/>
      <c r="R336" s="226"/>
      <c r="S336" s="224"/>
    </row>
    <row r="337" spans="14:19" ht="15.75" customHeight="1">
      <c r="N337" s="220"/>
      <c r="O337" s="221"/>
      <c r="P337" s="222"/>
      <c r="Q337" s="221"/>
      <c r="R337" s="223"/>
      <c r="S337" s="224"/>
    </row>
    <row r="338" spans="14:19" ht="15.75" customHeight="1">
      <c r="N338" s="220"/>
      <c r="O338" s="225"/>
      <c r="P338" s="222"/>
      <c r="Q338" s="225"/>
      <c r="R338" s="226"/>
      <c r="S338" s="224"/>
    </row>
    <row r="339" spans="14:19" ht="15.75" customHeight="1">
      <c r="N339" s="220"/>
      <c r="O339" s="225"/>
      <c r="P339" s="222"/>
      <c r="Q339" s="225"/>
      <c r="R339" s="226"/>
      <c r="S339" s="224"/>
    </row>
    <row r="340" spans="14:19" ht="15.75" customHeight="1">
      <c r="N340" s="220"/>
      <c r="O340" s="225"/>
      <c r="P340" s="222"/>
      <c r="Q340" s="225"/>
      <c r="R340" s="226"/>
      <c r="S340" s="224"/>
    </row>
    <row r="341" spans="14:19" ht="15.75" customHeight="1">
      <c r="N341" s="220"/>
      <c r="O341" s="225"/>
      <c r="P341" s="222"/>
      <c r="Q341" s="225"/>
      <c r="R341" s="226"/>
      <c r="S341" s="224"/>
    </row>
    <row r="342" spans="14:19" ht="15.75" customHeight="1">
      <c r="N342" s="220"/>
      <c r="O342" s="225"/>
      <c r="P342" s="222"/>
      <c r="Q342" s="225"/>
      <c r="R342" s="226"/>
      <c r="S342" s="224"/>
    </row>
    <row r="343" spans="14:19" ht="15.75" customHeight="1">
      <c r="N343" s="220"/>
      <c r="O343" s="225"/>
      <c r="P343" s="222"/>
      <c r="Q343" s="225"/>
      <c r="R343" s="226"/>
      <c r="S343" s="224"/>
    </row>
    <row r="344" spans="14:19" ht="15.75" customHeight="1">
      <c r="N344" s="220"/>
      <c r="O344" s="225"/>
      <c r="P344" s="222"/>
      <c r="Q344" s="225"/>
      <c r="R344" s="226"/>
      <c r="S344" s="224"/>
    </row>
    <row r="345" spans="14:19" ht="15.75" customHeight="1">
      <c r="N345" s="220"/>
      <c r="O345" s="221"/>
      <c r="P345" s="222"/>
      <c r="Q345" s="221"/>
      <c r="R345" s="223"/>
      <c r="S345" s="224"/>
    </row>
    <row r="346" spans="14:19" ht="15.75" customHeight="1">
      <c r="N346" s="220"/>
      <c r="O346" s="225"/>
      <c r="P346" s="222"/>
      <c r="Q346" s="225"/>
      <c r="R346" s="226"/>
      <c r="S346" s="224"/>
    </row>
    <row r="347" spans="14:19" ht="15.75" customHeight="1">
      <c r="N347" s="220"/>
      <c r="O347" s="225"/>
      <c r="P347" s="222"/>
      <c r="Q347" s="225"/>
      <c r="R347" s="226"/>
      <c r="S347" s="224"/>
    </row>
    <row r="348" spans="14:19" ht="15.75" customHeight="1">
      <c r="N348" s="220"/>
      <c r="O348" s="225"/>
      <c r="P348" s="222"/>
      <c r="Q348" s="225"/>
      <c r="R348" s="226"/>
      <c r="S348" s="224"/>
    </row>
    <row r="349" spans="14:19" ht="15.75" customHeight="1">
      <c r="N349" s="220"/>
      <c r="O349" s="225"/>
      <c r="P349" s="222"/>
      <c r="Q349" s="225"/>
      <c r="R349" s="226"/>
      <c r="S349" s="224"/>
    </row>
    <row r="350" spans="14:19" ht="15.75" customHeight="1">
      <c r="N350" s="220"/>
      <c r="O350" s="225"/>
      <c r="P350" s="222"/>
      <c r="Q350" s="225"/>
      <c r="R350" s="226"/>
      <c r="S350" s="224"/>
    </row>
    <row r="351" spans="14:19" ht="15.75" customHeight="1">
      <c r="N351" s="220"/>
      <c r="O351" s="221"/>
      <c r="P351" s="222"/>
      <c r="Q351" s="221"/>
      <c r="R351" s="223"/>
      <c r="S351" s="224"/>
    </row>
    <row r="352" spans="14:19" ht="15.75" customHeight="1">
      <c r="N352" s="220"/>
      <c r="O352" s="225"/>
      <c r="P352" s="222"/>
      <c r="Q352" s="225"/>
      <c r="R352" s="226"/>
      <c r="S352" s="224"/>
    </row>
    <row r="353" spans="14:19" ht="15.75" customHeight="1">
      <c r="N353" s="220"/>
      <c r="O353" s="225"/>
      <c r="P353" s="222"/>
      <c r="Q353" s="225"/>
      <c r="R353" s="226"/>
      <c r="S353" s="224"/>
    </row>
    <row r="354" spans="14:19" ht="15.75" customHeight="1">
      <c r="N354" s="220"/>
      <c r="O354" s="225"/>
      <c r="P354" s="222"/>
      <c r="Q354" s="225"/>
      <c r="R354" s="226"/>
      <c r="S354" s="224"/>
    </row>
    <row r="355" spans="14:19" ht="15.75" customHeight="1">
      <c r="N355" s="220"/>
      <c r="O355" s="225"/>
      <c r="P355" s="222"/>
      <c r="Q355" s="225"/>
      <c r="R355" s="226"/>
      <c r="S355" s="224"/>
    </row>
    <row r="356" spans="14:19" ht="15.75" customHeight="1">
      <c r="N356" s="220"/>
      <c r="O356" s="225"/>
      <c r="P356" s="222"/>
      <c r="Q356" s="225"/>
      <c r="R356" s="226"/>
      <c r="S356" s="224"/>
    </row>
    <row r="357" spans="14:19" ht="15.75" customHeight="1">
      <c r="N357" s="220"/>
      <c r="O357" s="221"/>
      <c r="P357" s="222"/>
      <c r="Q357" s="221"/>
      <c r="R357" s="223"/>
      <c r="S357" s="224"/>
    </row>
    <row r="358" spans="14:19" ht="15.75" customHeight="1">
      <c r="N358" s="220"/>
      <c r="O358" s="225"/>
      <c r="P358" s="222"/>
      <c r="Q358" s="225"/>
      <c r="R358" s="226"/>
      <c r="S358" s="224"/>
    </row>
    <row r="359" spans="14:19" ht="15.75" customHeight="1">
      <c r="N359" s="220"/>
      <c r="O359" s="225"/>
      <c r="P359" s="222"/>
      <c r="Q359" s="225"/>
      <c r="R359" s="226"/>
      <c r="S359" s="224"/>
    </row>
    <row r="360" spans="14:19" ht="15.75" customHeight="1">
      <c r="N360" s="220"/>
      <c r="O360" s="225"/>
      <c r="P360" s="222"/>
      <c r="Q360" s="225"/>
      <c r="R360" s="226"/>
      <c r="S360" s="224"/>
    </row>
    <row r="361" spans="14:19" ht="15.75" customHeight="1">
      <c r="N361" s="220"/>
      <c r="O361" s="225"/>
      <c r="P361" s="222"/>
      <c r="Q361" s="225"/>
      <c r="R361" s="226"/>
      <c r="S361" s="224"/>
    </row>
    <row r="362" spans="14:19" ht="15.75" customHeight="1">
      <c r="N362" s="220"/>
      <c r="O362" s="225"/>
      <c r="P362" s="222"/>
      <c r="Q362" s="225"/>
      <c r="R362" s="226"/>
      <c r="S362" s="224"/>
    </row>
    <row r="363" spans="14:19" ht="15.75" customHeight="1">
      <c r="N363" s="220"/>
      <c r="O363" s="221"/>
      <c r="P363" s="222"/>
      <c r="Q363" s="221"/>
      <c r="R363" s="223"/>
      <c r="S363" s="224"/>
    </row>
    <row r="364" spans="14:19" ht="15.75" customHeight="1">
      <c r="N364" s="220"/>
      <c r="O364" s="225"/>
      <c r="P364" s="222"/>
      <c r="Q364" s="225"/>
      <c r="R364" s="226"/>
      <c r="S364" s="224"/>
    </row>
    <row r="365" spans="14:19" ht="15.75" customHeight="1">
      <c r="N365" s="220"/>
      <c r="O365" s="225"/>
      <c r="P365" s="222"/>
      <c r="Q365" s="225"/>
      <c r="R365" s="226"/>
      <c r="S365" s="224"/>
    </row>
    <row r="366" spans="14:19" ht="15.75" customHeight="1">
      <c r="N366" s="220"/>
      <c r="O366" s="221"/>
      <c r="P366" s="222"/>
      <c r="Q366" s="221"/>
      <c r="R366" s="223"/>
      <c r="S366" s="224"/>
    </row>
    <row r="367" spans="14:19" ht="15.75" customHeight="1">
      <c r="N367" s="220"/>
      <c r="O367" s="225"/>
      <c r="P367" s="222"/>
      <c r="Q367" s="225"/>
      <c r="R367" s="226"/>
      <c r="S367" s="224"/>
    </row>
    <row r="368" spans="14:19" ht="15.75" customHeight="1">
      <c r="N368" s="220"/>
      <c r="O368" s="225"/>
      <c r="P368" s="222"/>
      <c r="Q368" s="225"/>
      <c r="R368" s="226"/>
      <c r="S368" s="224"/>
    </row>
    <row r="369" spans="14:19" ht="15.75" customHeight="1">
      <c r="N369" s="220"/>
      <c r="O369" s="225"/>
      <c r="P369" s="222"/>
      <c r="Q369" s="225"/>
      <c r="R369" s="226"/>
      <c r="S369" s="224"/>
    </row>
    <row r="370" spans="14:19" ht="15.75" customHeight="1">
      <c r="N370" s="220"/>
      <c r="O370" s="225"/>
      <c r="P370" s="222"/>
      <c r="Q370" s="225"/>
      <c r="R370" s="226"/>
      <c r="S370" s="224"/>
    </row>
    <row r="371" spans="14:19" ht="15.75" customHeight="1">
      <c r="N371" s="220"/>
      <c r="O371" s="225"/>
      <c r="P371" s="222"/>
      <c r="Q371" s="225"/>
      <c r="R371" s="226"/>
      <c r="S371" s="224"/>
    </row>
    <row r="372" spans="14:19" ht="15.75" customHeight="1">
      <c r="N372" s="220"/>
      <c r="O372" s="225"/>
      <c r="P372" s="222"/>
      <c r="Q372" s="225"/>
      <c r="R372" s="226"/>
      <c r="S372" s="224"/>
    </row>
    <row r="373" spans="14:19" ht="15.75" customHeight="1">
      <c r="N373" s="220"/>
      <c r="O373" s="221"/>
      <c r="P373" s="222"/>
      <c r="Q373" s="221"/>
      <c r="R373" s="223"/>
      <c r="S373" s="224"/>
    </row>
    <row r="374" spans="14:19" ht="15.75" customHeight="1">
      <c r="N374" s="220"/>
      <c r="O374" s="225"/>
      <c r="P374" s="222"/>
      <c r="Q374" s="225"/>
      <c r="R374" s="226"/>
      <c r="S374" s="224"/>
    </row>
    <row r="375" spans="14:19" ht="15.75" customHeight="1">
      <c r="N375" s="220"/>
      <c r="O375" s="225"/>
      <c r="P375" s="222"/>
      <c r="Q375" s="225"/>
      <c r="R375" s="226"/>
      <c r="S375" s="224"/>
    </row>
    <row r="376" spans="14:19" ht="15.75" customHeight="1">
      <c r="N376" s="220"/>
      <c r="O376" s="225"/>
      <c r="P376" s="222"/>
      <c r="Q376" s="225"/>
      <c r="R376" s="226"/>
      <c r="S376" s="224"/>
    </row>
    <row r="377" spans="14:19" ht="15.75" customHeight="1">
      <c r="N377" s="220"/>
      <c r="O377" s="225"/>
      <c r="P377" s="222"/>
      <c r="Q377" s="225"/>
      <c r="R377" s="226"/>
      <c r="S377" s="224"/>
    </row>
    <row r="378" spans="14:19" ht="15.75" customHeight="1">
      <c r="N378" s="220"/>
      <c r="O378" s="225"/>
      <c r="P378" s="222"/>
      <c r="Q378" s="225"/>
      <c r="R378" s="226"/>
      <c r="S378" s="224"/>
    </row>
    <row r="379" spans="14:19" ht="15.75" customHeight="1">
      <c r="N379" s="220"/>
      <c r="O379" s="221"/>
      <c r="P379" s="222"/>
      <c r="Q379" s="221"/>
      <c r="R379" s="223"/>
      <c r="S379" s="224"/>
    </row>
    <row r="380" spans="14:19" ht="15.75" customHeight="1">
      <c r="N380" s="220"/>
      <c r="O380" s="225"/>
      <c r="P380" s="222"/>
      <c r="Q380" s="225"/>
      <c r="R380" s="226"/>
      <c r="S380" s="224"/>
    </row>
    <row r="381" spans="14:19" ht="15.75" customHeight="1">
      <c r="N381" s="220"/>
      <c r="O381" s="225"/>
      <c r="P381" s="222"/>
      <c r="Q381" s="225"/>
      <c r="R381" s="226"/>
      <c r="S381" s="224"/>
    </row>
    <row r="382" spans="14:19" ht="15.75" customHeight="1">
      <c r="N382" s="220"/>
      <c r="O382" s="225"/>
      <c r="P382" s="222"/>
      <c r="Q382" s="225"/>
      <c r="R382" s="226"/>
      <c r="S382" s="224"/>
    </row>
    <row r="383" spans="14:19" ht="15.75" customHeight="1">
      <c r="N383" s="220"/>
      <c r="O383" s="225"/>
      <c r="P383" s="222"/>
      <c r="Q383" s="225"/>
      <c r="R383" s="226"/>
      <c r="S383" s="224"/>
    </row>
    <row r="384" spans="14:19" ht="15.75" customHeight="1">
      <c r="N384" s="220"/>
      <c r="O384" s="225"/>
      <c r="P384" s="222"/>
      <c r="Q384" s="225"/>
      <c r="R384" s="226"/>
      <c r="S384" s="224"/>
    </row>
    <row r="385" spans="14:19" ht="15.75" customHeight="1">
      <c r="N385" s="220"/>
      <c r="O385" s="225"/>
      <c r="P385" s="222"/>
      <c r="Q385" s="225"/>
      <c r="R385" s="226"/>
      <c r="S385" s="224"/>
    </row>
    <row r="386" spans="14:19" ht="15.75" customHeight="1">
      <c r="N386" s="220"/>
      <c r="O386" s="225"/>
      <c r="P386" s="222"/>
      <c r="Q386" s="225"/>
      <c r="R386" s="226"/>
      <c r="S386" s="224"/>
    </row>
    <row r="387" spans="14:19" ht="15.75" customHeight="1">
      <c r="N387" s="220"/>
      <c r="O387" s="221"/>
      <c r="P387" s="222"/>
      <c r="Q387" s="221"/>
      <c r="R387" s="223"/>
      <c r="S387" s="224"/>
    </row>
    <row r="388" spans="14:19" ht="15.75" customHeight="1">
      <c r="N388" s="220"/>
      <c r="O388" s="225"/>
      <c r="P388" s="222"/>
      <c r="Q388" s="225"/>
      <c r="R388" s="226"/>
      <c r="S388" s="224"/>
    </row>
    <row r="389" spans="14:19" ht="15.75" customHeight="1">
      <c r="N389" s="220"/>
      <c r="O389" s="225"/>
      <c r="P389" s="222"/>
      <c r="Q389" s="225"/>
      <c r="R389" s="226"/>
      <c r="S389" s="224"/>
    </row>
    <row r="390" spans="14:19" ht="15.75" customHeight="1">
      <c r="N390" s="220"/>
      <c r="O390" s="225"/>
      <c r="P390" s="222"/>
      <c r="Q390" s="225"/>
      <c r="R390" s="226"/>
      <c r="S390" s="224"/>
    </row>
    <row r="391" spans="14:19" ht="15.75" customHeight="1">
      <c r="N391" s="220"/>
      <c r="O391" s="225"/>
      <c r="P391" s="222"/>
      <c r="Q391" s="225"/>
      <c r="R391" s="226"/>
      <c r="S391" s="224"/>
    </row>
    <row r="392" spans="14:19" ht="15.75" customHeight="1">
      <c r="N392" s="220"/>
      <c r="O392" s="225"/>
      <c r="P392" s="222"/>
      <c r="Q392" s="225"/>
      <c r="R392" s="226"/>
      <c r="S392" s="224"/>
    </row>
    <row r="393" spans="14:19" ht="15.75" customHeight="1">
      <c r="N393" s="220"/>
      <c r="O393" s="221"/>
      <c r="P393" s="222"/>
      <c r="Q393" s="221"/>
      <c r="R393" s="223"/>
      <c r="S393" s="224"/>
    </row>
    <row r="394" spans="14:19" ht="15.75" customHeight="1">
      <c r="N394" s="220"/>
      <c r="O394" s="225"/>
      <c r="P394" s="222"/>
      <c r="Q394" s="225"/>
      <c r="R394" s="226"/>
      <c r="S394" s="224"/>
    </row>
    <row r="395" spans="14:19" ht="15.75" customHeight="1">
      <c r="N395" s="220"/>
      <c r="O395" s="225"/>
      <c r="P395" s="222"/>
      <c r="Q395" s="225"/>
      <c r="R395" s="226"/>
      <c r="S395" s="224"/>
    </row>
    <row r="396" spans="14:19" ht="15.75" customHeight="1">
      <c r="N396" s="220"/>
      <c r="O396" s="225"/>
      <c r="P396" s="222"/>
      <c r="Q396" s="225"/>
      <c r="R396" s="226"/>
      <c r="S396" s="224"/>
    </row>
    <row r="397" spans="14:19" ht="15.75" customHeight="1">
      <c r="N397" s="220"/>
      <c r="O397" s="225"/>
      <c r="P397" s="222"/>
      <c r="Q397" s="225"/>
      <c r="R397" s="226"/>
      <c r="S397" s="224"/>
    </row>
    <row r="398" spans="14:19" ht="15.75" customHeight="1">
      <c r="N398" s="220"/>
      <c r="O398" s="225"/>
      <c r="P398" s="222"/>
      <c r="Q398" s="225"/>
      <c r="R398" s="226"/>
      <c r="S398" s="224"/>
    </row>
    <row r="399" spans="14:19" ht="15.75" customHeight="1">
      <c r="N399" s="220"/>
      <c r="O399" s="221"/>
      <c r="P399" s="222"/>
      <c r="Q399" s="221"/>
      <c r="R399" s="223"/>
      <c r="S399" s="224"/>
    </row>
    <row r="400" spans="14:19" ht="15.75" customHeight="1">
      <c r="N400" s="220"/>
      <c r="O400" s="225"/>
      <c r="P400" s="222"/>
      <c r="Q400" s="225"/>
      <c r="R400" s="226"/>
      <c r="S400" s="224"/>
    </row>
    <row r="401" spans="14:19" ht="15.75" customHeight="1">
      <c r="N401" s="220"/>
      <c r="O401" s="225"/>
      <c r="P401" s="222"/>
      <c r="Q401" s="225"/>
      <c r="R401" s="226"/>
      <c r="S401" s="224"/>
    </row>
    <row r="402" spans="14:19" ht="15.75" customHeight="1">
      <c r="N402" s="220"/>
      <c r="O402" s="225"/>
      <c r="P402" s="222"/>
      <c r="Q402" s="225"/>
      <c r="R402" s="226"/>
      <c r="S402" s="224"/>
    </row>
    <row r="403" spans="14:19" ht="15.75" customHeight="1">
      <c r="N403" s="220"/>
      <c r="O403" s="225"/>
      <c r="P403" s="222"/>
      <c r="Q403" s="225"/>
      <c r="R403" s="226"/>
      <c r="S403" s="224"/>
    </row>
    <row r="404" spans="14:19" ht="15.75" customHeight="1">
      <c r="N404" s="220"/>
      <c r="O404" s="225"/>
      <c r="P404" s="222"/>
      <c r="Q404" s="225"/>
      <c r="R404" s="226"/>
      <c r="S404" s="224"/>
    </row>
    <row r="405" spans="14:19" ht="15.75" customHeight="1">
      <c r="N405" s="220"/>
      <c r="O405" s="221"/>
      <c r="P405" s="222"/>
      <c r="Q405" s="221"/>
      <c r="R405" s="223"/>
      <c r="S405" s="224"/>
    </row>
    <row r="406" spans="14:19" ht="15.75" customHeight="1">
      <c r="N406" s="220"/>
      <c r="O406" s="225"/>
      <c r="P406" s="222"/>
      <c r="Q406" s="225"/>
      <c r="R406" s="226"/>
      <c r="S406" s="224"/>
    </row>
    <row r="407" spans="14:19" ht="15.75" customHeight="1">
      <c r="N407" s="220"/>
      <c r="O407" s="225"/>
      <c r="P407" s="222"/>
      <c r="Q407" s="225"/>
      <c r="R407" s="226"/>
      <c r="S407" s="224"/>
    </row>
    <row r="408" spans="14:19" ht="15.75" customHeight="1">
      <c r="N408" s="220"/>
      <c r="O408" s="221"/>
      <c r="P408" s="222"/>
      <c r="Q408" s="221"/>
      <c r="R408" s="223"/>
      <c r="S408" s="224"/>
    </row>
    <row r="409" spans="14:19" ht="15.75" customHeight="1">
      <c r="N409" s="220"/>
      <c r="O409" s="225"/>
      <c r="P409" s="222"/>
      <c r="Q409" s="225"/>
      <c r="R409" s="226"/>
      <c r="S409" s="224"/>
    </row>
    <row r="410" spans="14:19" ht="15.75" customHeight="1">
      <c r="N410" s="220"/>
      <c r="O410" s="225"/>
      <c r="P410" s="222"/>
      <c r="Q410" s="225"/>
      <c r="R410" s="226"/>
      <c r="S410" s="224"/>
    </row>
    <row r="411" spans="14:19" ht="15.75" customHeight="1">
      <c r="N411" s="220"/>
      <c r="O411" s="225"/>
      <c r="P411" s="222"/>
      <c r="Q411" s="225"/>
      <c r="R411" s="226"/>
      <c r="S411" s="224"/>
    </row>
    <row r="412" spans="14:19" ht="15.75" customHeight="1">
      <c r="N412" s="220"/>
      <c r="O412" s="225"/>
      <c r="P412" s="222"/>
      <c r="Q412" s="225"/>
      <c r="R412" s="226"/>
      <c r="S412" s="224"/>
    </row>
    <row r="413" spans="14:19" ht="15.75" customHeight="1">
      <c r="N413" s="220"/>
      <c r="O413" s="225"/>
      <c r="P413" s="222"/>
      <c r="Q413" s="225"/>
      <c r="R413" s="226"/>
      <c r="S413" s="224"/>
    </row>
    <row r="414" spans="14:19" ht="15.75" customHeight="1">
      <c r="N414" s="220"/>
      <c r="O414" s="225"/>
      <c r="P414" s="222"/>
      <c r="Q414" s="225"/>
      <c r="R414" s="226"/>
      <c r="S414" s="224"/>
    </row>
    <row r="415" spans="14:19" ht="15.75" customHeight="1">
      <c r="N415" s="220"/>
      <c r="O415" s="221"/>
      <c r="P415" s="222"/>
      <c r="Q415" s="221"/>
      <c r="R415" s="223"/>
      <c r="S415" s="224"/>
    </row>
    <row r="416" spans="14:19" ht="15.75" customHeight="1">
      <c r="N416" s="220"/>
      <c r="O416" s="225"/>
      <c r="P416" s="222"/>
      <c r="Q416" s="225"/>
      <c r="R416" s="226"/>
      <c r="S416" s="224"/>
    </row>
    <row r="417" spans="14:19" ht="15.75" customHeight="1">
      <c r="N417" s="220"/>
      <c r="O417" s="225"/>
      <c r="P417" s="222"/>
      <c r="Q417" s="225"/>
      <c r="R417" s="226"/>
      <c r="S417" s="224"/>
    </row>
    <row r="418" spans="14:19" ht="15.75" customHeight="1">
      <c r="N418" s="220"/>
      <c r="O418" s="225"/>
      <c r="P418" s="222"/>
      <c r="Q418" s="225"/>
      <c r="R418" s="226"/>
      <c r="S418" s="224"/>
    </row>
    <row r="419" spans="14:19" ht="15.75" customHeight="1">
      <c r="N419" s="220"/>
      <c r="O419" s="225"/>
      <c r="P419" s="222"/>
      <c r="Q419" s="225"/>
      <c r="R419" s="226"/>
      <c r="S419" s="224"/>
    </row>
    <row r="420" spans="14:19" ht="15.75" customHeight="1">
      <c r="N420" s="220"/>
      <c r="O420" s="225"/>
      <c r="P420" s="222"/>
      <c r="Q420" s="225"/>
      <c r="R420" s="226"/>
      <c r="S420" s="224"/>
    </row>
    <row r="421" spans="14:19" ht="15.75" customHeight="1">
      <c r="N421" s="220"/>
      <c r="O421" s="221"/>
      <c r="P421" s="222"/>
      <c r="Q421" s="221"/>
      <c r="R421" s="223"/>
      <c r="S421" s="224"/>
    </row>
    <row r="422" spans="14:19" ht="15.75" customHeight="1">
      <c r="N422" s="220"/>
      <c r="O422" s="225"/>
      <c r="P422" s="222"/>
      <c r="Q422" s="225"/>
      <c r="R422" s="226"/>
      <c r="S422" s="224"/>
    </row>
    <row r="423" spans="14:19" ht="15.75" customHeight="1">
      <c r="N423" s="220"/>
      <c r="O423" s="225"/>
      <c r="P423" s="222"/>
      <c r="Q423" s="225"/>
      <c r="R423" s="226"/>
      <c r="S423" s="224"/>
    </row>
    <row r="424" spans="14:19" ht="15.75" customHeight="1">
      <c r="N424" s="220"/>
      <c r="O424" s="225"/>
      <c r="P424" s="222"/>
      <c r="Q424" s="225"/>
      <c r="R424" s="226"/>
      <c r="S424" s="224"/>
    </row>
    <row r="425" spans="14:19" ht="15.75" customHeight="1">
      <c r="N425" s="220"/>
      <c r="O425" s="225"/>
      <c r="P425" s="222"/>
      <c r="Q425" s="225"/>
      <c r="R425" s="226"/>
      <c r="S425" s="224"/>
    </row>
    <row r="426" spans="14:19" ht="15.75" customHeight="1">
      <c r="N426" s="220"/>
      <c r="O426" s="225"/>
      <c r="P426" s="222"/>
      <c r="Q426" s="225"/>
      <c r="R426" s="226"/>
      <c r="S426" s="224"/>
    </row>
    <row r="427" spans="14:19" ht="15.75" customHeight="1">
      <c r="N427" s="220"/>
      <c r="O427" s="225"/>
      <c r="P427" s="222"/>
      <c r="Q427" s="225"/>
      <c r="R427" s="226"/>
      <c r="S427" s="224"/>
    </row>
    <row r="428" spans="14:19" ht="15.75" customHeight="1">
      <c r="N428" s="220"/>
      <c r="O428" s="225"/>
      <c r="P428" s="222"/>
      <c r="Q428" s="225"/>
      <c r="R428" s="226"/>
      <c r="S428" s="224"/>
    </row>
    <row r="429" spans="14:19" ht="15.75" customHeight="1">
      <c r="N429" s="220"/>
      <c r="O429" s="221"/>
      <c r="P429" s="222"/>
      <c r="Q429" s="221"/>
      <c r="R429" s="223"/>
      <c r="S429" s="224"/>
    </row>
    <row r="430" spans="14:19" ht="15.75" customHeight="1">
      <c r="N430" s="220"/>
      <c r="O430" s="225"/>
      <c r="P430" s="222"/>
      <c r="Q430" s="225"/>
      <c r="R430" s="226"/>
      <c r="S430" s="224"/>
    </row>
    <row r="431" spans="14:19" ht="15.75" customHeight="1">
      <c r="N431" s="220"/>
      <c r="O431" s="225"/>
      <c r="P431" s="222"/>
      <c r="Q431" s="225"/>
      <c r="R431" s="226"/>
      <c r="S431" s="224"/>
    </row>
    <row r="432" spans="14:19" ht="15.75" customHeight="1">
      <c r="N432" s="220"/>
      <c r="O432" s="225"/>
      <c r="P432" s="222"/>
      <c r="Q432" s="225"/>
      <c r="R432" s="226"/>
      <c r="S432" s="224"/>
    </row>
    <row r="433" spans="14:19" ht="15.75" customHeight="1">
      <c r="N433" s="220"/>
      <c r="O433" s="225"/>
      <c r="P433" s="222"/>
      <c r="Q433" s="225"/>
      <c r="R433" s="226"/>
      <c r="S433" s="224"/>
    </row>
    <row r="434" spans="14:19" ht="15.75" customHeight="1">
      <c r="N434" s="220"/>
      <c r="O434" s="225"/>
      <c r="P434" s="222"/>
      <c r="Q434" s="225"/>
      <c r="R434" s="226"/>
      <c r="S434" s="224"/>
    </row>
    <row r="435" spans="14:19" ht="15.75" customHeight="1">
      <c r="N435" s="220"/>
      <c r="O435" s="221"/>
      <c r="P435" s="222"/>
      <c r="Q435" s="221"/>
      <c r="R435" s="223"/>
      <c r="S435" s="224"/>
    </row>
    <row r="436" spans="14:19" ht="15.75" customHeight="1">
      <c r="N436" s="220"/>
      <c r="O436" s="225"/>
      <c r="P436" s="222"/>
      <c r="Q436" s="225"/>
      <c r="R436" s="226"/>
      <c r="S436" s="224"/>
    </row>
    <row r="437" spans="14:19" ht="15.75" customHeight="1">
      <c r="N437" s="220"/>
      <c r="O437" s="225"/>
      <c r="P437" s="222"/>
      <c r="Q437" s="225"/>
      <c r="R437" s="226"/>
      <c r="S437" s="224"/>
    </row>
    <row r="438" spans="14:19" ht="15.75" customHeight="1">
      <c r="N438" s="220"/>
      <c r="O438" s="225"/>
      <c r="P438" s="222"/>
      <c r="Q438" s="225"/>
      <c r="R438" s="226"/>
      <c r="S438" s="224"/>
    </row>
    <row r="439" spans="14:19" ht="15.75" customHeight="1">
      <c r="N439" s="220"/>
      <c r="O439" s="225"/>
      <c r="P439" s="222"/>
      <c r="Q439" s="225"/>
      <c r="R439" s="226"/>
      <c r="S439" s="224"/>
    </row>
    <row r="440" spans="14:19" ht="15.75" customHeight="1">
      <c r="N440" s="220"/>
      <c r="O440" s="225"/>
      <c r="P440" s="222"/>
      <c r="Q440" s="225"/>
      <c r="R440" s="226"/>
      <c r="S440" s="224"/>
    </row>
    <row r="441" spans="14:19" ht="15.75" customHeight="1">
      <c r="N441" s="220"/>
      <c r="O441" s="221"/>
      <c r="P441" s="222"/>
      <c r="Q441" s="221"/>
      <c r="R441" s="223"/>
      <c r="S441" s="224"/>
    </row>
    <row r="442" spans="14:19" ht="15.75" customHeight="1">
      <c r="N442" s="220"/>
      <c r="O442" s="225"/>
      <c r="P442" s="222"/>
      <c r="Q442" s="225"/>
      <c r="R442" s="226"/>
      <c r="S442" s="224"/>
    </row>
    <row r="443" spans="14:19" ht="15.75" customHeight="1">
      <c r="N443" s="220"/>
      <c r="O443" s="225"/>
      <c r="P443" s="222"/>
      <c r="Q443" s="225"/>
      <c r="R443" s="226"/>
      <c r="S443" s="224"/>
    </row>
    <row r="444" spans="14:19" ht="15.75" customHeight="1">
      <c r="N444" s="220"/>
      <c r="O444" s="225"/>
      <c r="P444" s="222"/>
      <c r="Q444" s="225"/>
      <c r="R444" s="226"/>
      <c r="S444" s="224"/>
    </row>
    <row r="445" spans="14:19" ht="15.75" customHeight="1">
      <c r="N445" s="220"/>
      <c r="O445" s="225"/>
      <c r="P445" s="222"/>
      <c r="Q445" s="225"/>
      <c r="R445" s="226"/>
      <c r="S445" s="224"/>
    </row>
    <row r="446" spans="14:19" ht="15.75" customHeight="1">
      <c r="N446" s="220"/>
      <c r="O446" s="225"/>
      <c r="P446" s="222"/>
      <c r="Q446" s="225"/>
      <c r="R446" s="226"/>
      <c r="S446" s="224"/>
    </row>
    <row r="447" spans="14:19" ht="15.75" customHeight="1">
      <c r="N447" s="220"/>
      <c r="O447" s="221"/>
      <c r="P447" s="222"/>
      <c r="Q447" s="221"/>
      <c r="R447" s="223"/>
      <c r="S447" s="224"/>
    </row>
    <row r="448" spans="14:19" ht="15.75" customHeight="1">
      <c r="N448" s="220"/>
      <c r="O448" s="225"/>
      <c r="P448" s="222"/>
      <c r="Q448" s="225"/>
      <c r="R448" s="226"/>
      <c r="S448" s="224"/>
    </row>
    <row r="449" spans="14:19" ht="15.75" customHeight="1">
      <c r="N449" s="220"/>
      <c r="O449" s="225"/>
      <c r="P449" s="222"/>
      <c r="Q449" s="225"/>
      <c r="R449" s="226"/>
      <c r="S449" s="224"/>
    </row>
    <row r="450" spans="14:19" ht="15.75" customHeight="1">
      <c r="N450" s="220"/>
      <c r="O450" s="221"/>
      <c r="P450" s="222"/>
      <c r="Q450" s="221"/>
      <c r="R450" s="223"/>
      <c r="S450" s="224"/>
    </row>
    <row r="451" spans="14:19" ht="15.75" customHeight="1">
      <c r="N451" s="220"/>
      <c r="O451" s="225"/>
      <c r="P451" s="222"/>
      <c r="Q451" s="225"/>
      <c r="R451" s="226"/>
      <c r="S451" s="224"/>
    </row>
    <row r="452" spans="14:19" ht="15.75" customHeight="1">
      <c r="N452" s="220"/>
      <c r="O452" s="225"/>
      <c r="P452" s="222"/>
      <c r="Q452" s="225"/>
      <c r="R452" s="226"/>
      <c r="S452" s="224"/>
    </row>
    <row r="453" spans="14:19" ht="15.75" customHeight="1">
      <c r="N453" s="220"/>
      <c r="O453" s="225"/>
      <c r="P453" s="222"/>
      <c r="Q453" s="225"/>
      <c r="R453" s="226"/>
      <c r="S453" s="224"/>
    </row>
    <row r="454" spans="14:19" ht="15.75" customHeight="1">
      <c r="N454" s="220"/>
      <c r="O454" s="225"/>
      <c r="P454" s="222"/>
      <c r="Q454" s="225"/>
      <c r="R454" s="226"/>
      <c r="S454" s="224"/>
    </row>
    <row r="455" spans="14:19" ht="15.75" customHeight="1">
      <c r="N455" s="220"/>
      <c r="O455" s="225"/>
      <c r="P455" s="222"/>
      <c r="Q455" s="225"/>
      <c r="R455" s="226"/>
      <c r="S455" s="224"/>
    </row>
    <row r="456" spans="14:19" ht="15.75" customHeight="1">
      <c r="N456" s="220"/>
      <c r="O456" s="225"/>
      <c r="P456" s="222"/>
      <c r="Q456" s="225"/>
      <c r="R456" s="226"/>
      <c r="S456" s="224"/>
    </row>
    <row r="457" spans="14:19" ht="15.75" customHeight="1">
      <c r="N457" s="220"/>
      <c r="O457" s="221"/>
      <c r="P457" s="222"/>
      <c r="Q457" s="221"/>
      <c r="R457" s="223"/>
      <c r="S457" s="224"/>
    </row>
    <row r="458" spans="14:19" ht="15.75" customHeight="1">
      <c r="N458" s="220"/>
      <c r="O458" s="225"/>
      <c r="P458" s="222"/>
      <c r="Q458" s="225"/>
      <c r="R458" s="226"/>
      <c r="S458" s="224"/>
    </row>
    <row r="459" spans="14:19" ht="15.75" customHeight="1">
      <c r="N459" s="220"/>
      <c r="O459" s="225"/>
      <c r="P459" s="222"/>
      <c r="Q459" s="225"/>
      <c r="R459" s="226"/>
      <c r="S459" s="224"/>
    </row>
    <row r="460" spans="14:19" ht="15.75" customHeight="1">
      <c r="N460" s="220"/>
      <c r="O460" s="225"/>
      <c r="P460" s="222"/>
      <c r="Q460" s="225"/>
      <c r="R460" s="226"/>
      <c r="S460" s="224"/>
    </row>
    <row r="461" spans="14:19" ht="15.75" customHeight="1">
      <c r="N461" s="220"/>
      <c r="O461" s="225"/>
      <c r="P461" s="222"/>
      <c r="Q461" s="225"/>
      <c r="R461" s="226"/>
      <c r="S461" s="224"/>
    </row>
    <row r="462" spans="14:19" ht="15.75" customHeight="1">
      <c r="N462" s="220"/>
      <c r="O462" s="225"/>
      <c r="P462" s="222"/>
      <c r="Q462" s="225"/>
      <c r="R462" s="226"/>
      <c r="S462" s="224"/>
    </row>
    <row r="463" spans="14:19" ht="15.75" customHeight="1">
      <c r="N463" s="220"/>
      <c r="O463" s="221"/>
      <c r="P463" s="222"/>
      <c r="Q463" s="221"/>
      <c r="R463" s="223"/>
      <c r="S463" s="224"/>
    </row>
    <row r="464" spans="14:19" ht="15.75" customHeight="1">
      <c r="N464" s="220"/>
      <c r="O464" s="225"/>
      <c r="P464" s="222"/>
      <c r="Q464" s="225"/>
      <c r="R464" s="226"/>
      <c r="S464" s="224"/>
    </row>
    <row r="465" spans="14:19" ht="15.75" customHeight="1">
      <c r="N465" s="220"/>
      <c r="O465" s="225"/>
      <c r="P465" s="222"/>
      <c r="Q465" s="225"/>
      <c r="R465" s="226"/>
      <c r="S465" s="224"/>
    </row>
    <row r="466" spans="14:19" ht="15.75" customHeight="1">
      <c r="N466" s="220"/>
      <c r="O466" s="225"/>
      <c r="P466" s="222"/>
      <c r="Q466" s="225"/>
      <c r="R466" s="226"/>
      <c r="S466" s="224"/>
    </row>
    <row r="467" spans="14:19" ht="15.75" customHeight="1">
      <c r="N467" s="220"/>
      <c r="O467" s="225"/>
      <c r="P467" s="222"/>
      <c r="Q467" s="225"/>
      <c r="R467" s="226"/>
      <c r="S467" s="224"/>
    </row>
    <row r="468" spans="14:19" ht="15.75" customHeight="1">
      <c r="N468" s="220"/>
      <c r="O468" s="225"/>
      <c r="P468" s="222"/>
      <c r="Q468" s="225"/>
      <c r="R468" s="226"/>
      <c r="S468" s="224"/>
    </row>
    <row r="469" spans="14:19" ht="15.75" customHeight="1">
      <c r="N469" s="220"/>
      <c r="O469" s="225"/>
      <c r="P469" s="222"/>
      <c r="Q469" s="225"/>
      <c r="R469" s="226"/>
      <c r="S469" s="224"/>
    </row>
    <row r="470" spans="14:19" ht="15.75" customHeight="1">
      <c r="N470" s="220"/>
      <c r="O470" s="225"/>
      <c r="P470" s="222"/>
      <c r="Q470" s="225"/>
      <c r="R470" s="226"/>
      <c r="S470" s="224"/>
    </row>
    <row r="471" spans="14:19" ht="15.75" customHeight="1">
      <c r="N471" s="220"/>
      <c r="O471" s="221"/>
      <c r="P471" s="222"/>
      <c r="Q471" s="221"/>
      <c r="R471" s="223"/>
      <c r="S471" s="224"/>
    </row>
    <row r="472" spans="14:19" ht="15.75" customHeight="1">
      <c r="N472" s="220"/>
      <c r="O472" s="225"/>
      <c r="P472" s="222"/>
      <c r="Q472" s="225"/>
      <c r="R472" s="226"/>
      <c r="S472" s="224"/>
    </row>
    <row r="473" spans="14:19" ht="15.75" customHeight="1">
      <c r="N473" s="220"/>
      <c r="O473" s="225"/>
      <c r="P473" s="222"/>
      <c r="Q473" s="225"/>
      <c r="R473" s="226"/>
      <c r="S473" s="224"/>
    </row>
    <row r="474" spans="14:19" ht="15.75" customHeight="1">
      <c r="N474" s="220"/>
      <c r="O474" s="225"/>
      <c r="P474" s="222"/>
      <c r="Q474" s="225"/>
      <c r="R474" s="226"/>
      <c r="S474" s="224"/>
    </row>
    <row r="475" spans="14:19" ht="15.75" customHeight="1">
      <c r="N475" s="220"/>
      <c r="O475" s="225"/>
      <c r="P475" s="222"/>
      <c r="Q475" s="225"/>
      <c r="R475" s="226"/>
      <c r="S475" s="224"/>
    </row>
    <row r="476" spans="14:19" ht="15.75" customHeight="1">
      <c r="N476" s="220"/>
      <c r="O476" s="225"/>
      <c r="P476" s="222"/>
      <c r="Q476" s="225"/>
      <c r="R476" s="226"/>
      <c r="S476" s="224"/>
    </row>
    <row r="477" spans="14:19" ht="15.75" customHeight="1">
      <c r="N477" s="220"/>
      <c r="O477" s="221"/>
      <c r="P477" s="222"/>
      <c r="Q477" s="221"/>
      <c r="R477" s="223"/>
      <c r="S477" s="224"/>
    </row>
    <row r="478" spans="14:19" ht="15.75" customHeight="1">
      <c r="N478" s="220"/>
      <c r="O478" s="225"/>
      <c r="P478" s="222"/>
      <c r="Q478" s="225"/>
      <c r="R478" s="226"/>
      <c r="S478" s="224"/>
    </row>
    <row r="479" spans="14:19" ht="15.75" customHeight="1">
      <c r="N479" s="220"/>
      <c r="O479" s="225"/>
      <c r="P479" s="222"/>
      <c r="Q479" s="225"/>
      <c r="R479" s="226"/>
      <c r="S479" s="224"/>
    </row>
    <row r="480" spans="14:19" ht="15.75" customHeight="1">
      <c r="N480" s="220"/>
      <c r="O480" s="225"/>
      <c r="P480" s="222"/>
      <c r="Q480" s="225"/>
      <c r="R480" s="226"/>
      <c r="S480" s="224"/>
    </row>
    <row r="481" spans="14:19" ht="15.75" customHeight="1">
      <c r="N481" s="220"/>
      <c r="O481" s="225"/>
      <c r="P481" s="222"/>
      <c r="Q481" s="225"/>
      <c r="R481" s="226"/>
      <c r="S481" s="224"/>
    </row>
    <row r="482" spans="14:19" ht="15.75" customHeight="1">
      <c r="N482" s="220"/>
      <c r="O482" s="225"/>
      <c r="P482" s="222"/>
      <c r="Q482" s="225"/>
      <c r="R482" s="226"/>
      <c r="S482" s="224"/>
    </row>
    <row r="483" spans="14:19" ht="15.75" customHeight="1">
      <c r="N483" s="220"/>
      <c r="O483" s="221"/>
      <c r="P483" s="222"/>
      <c r="Q483" s="221"/>
      <c r="R483" s="223"/>
      <c r="S483" s="224"/>
    </row>
    <row r="484" spans="14:19" ht="15.75" customHeight="1">
      <c r="N484" s="220"/>
      <c r="O484" s="225"/>
      <c r="P484" s="222"/>
      <c r="Q484" s="225"/>
      <c r="R484" s="226"/>
      <c r="S484" s="224"/>
    </row>
    <row r="485" spans="14:19" ht="15.75" customHeight="1">
      <c r="N485" s="220"/>
      <c r="O485" s="225"/>
      <c r="P485" s="222"/>
      <c r="Q485" s="225"/>
      <c r="R485" s="226"/>
      <c r="S485" s="224"/>
    </row>
    <row r="486" spans="14:19" ht="15.75" customHeight="1">
      <c r="N486" s="220"/>
      <c r="O486" s="225"/>
      <c r="P486" s="222"/>
      <c r="Q486" s="225"/>
      <c r="R486" s="226"/>
      <c r="S486" s="224"/>
    </row>
    <row r="487" spans="14:19" ht="15.75" customHeight="1">
      <c r="N487" s="220"/>
      <c r="O487" s="225"/>
      <c r="P487" s="222"/>
      <c r="Q487" s="225"/>
      <c r="R487" s="226"/>
      <c r="S487" s="224"/>
    </row>
    <row r="488" spans="14:19" ht="15.75" customHeight="1">
      <c r="N488" s="220"/>
      <c r="O488" s="225"/>
      <c r="P488" s="222"/>
      <c r="Q488" s="225"/>
      <c r="R488" s="226"/>
      <c r="S488" s="224"/>
    </row>
    <row r="489" spans="14:19" ht="15.75" customHeight="1">
      <c r="N489" s="220"/>
      <c r="O489" s="221"/>
      <c r="P489" s="222"/>
      <c r="Q489" s="221"/>
      <c r="R489" s="223"/>
      <c r="S489" s="224"/>
    </row>
    <row r="490" spans="14:19" ht="15.75" customHeight="1">
      <c r="N490" s="220"/>
      <c r="O490" s="225"/>
      <c r="P490" s="222"/>
      <c r="Q490" s="225"/>
      <c r="R490" s="226"/>
      <c r="S490" s="224"/>
    </row>
    <row r="491" spans="14:19" ht="15.75" customHeight="1">
      <c r="N491" s="220"/>
      <c r="O491" s="225"/>
      <c r="P491" s="222"/>
      <c r="Q491" s="225"/>
      <c r="R491" s="226"/>
      <c r="S491" s="224"/>
    </row>
    <row r="492" spans="14:19" ht="15.75" customHeight="1">
      <c r="N492" s="220"/>
      <c r="O492" s="221"/>
      <c r="P492" s="222"/>
      <c r="Q492" s="221"/>
      <c r="R492" s="223"/>
      <c r="S492" s="224"/>
    </row>
    <row r="493" spans="14:19" ht="15.75" customHeight="1">
      <c r="N493" s="220"/>
      <c r="O493" s="225"/>
      <c r="P493" s="222"/>
      <c r="Q493" s="225"/>
      <c r="R493" s="226"/>
      <c r="S493" s="224"/>
    </row>
    <row r="494" spans="14:19" ht="15.75" customHeight="1">
      <c r="N494" s="220"/>
      <c r="O494" s="225"/>
      <c r="P494" s="222"/>
      <c r="Q494" s="225"/>
      <c r="R494" s="226"/>
      <c r="S494" s="224"/>
    </row>
    <row r="495" spans="14:19" ht="15.75" customHeight="1">
      <c r="N495" s="220"/>
      <c r="O495" s="225"/>
      <c r="P495" s="222"/>
      <c r="Q495" s="225"/>
      <c r="R495" s="226"/>
      <c r="S495" s="224"/>
    </row>
    <row r="496" spans="14:19" ht="15.75" customHeight="1">
      <c r="N496" s="220"/>
      <c r="O496" s="225"/>
      <c r="P496" s="222"/>
      <c r="Q496" s="225"/>
      <c r="R496" s="226"/>
      <c r="S496" s="224"/>
    </row>
    <row r="497" spans="14:19" ht="15.75" customHeight="1">
      <c r="N497" s="220"/>
      <c r="O497" s="225"/>
      <c r="P497" s="222"/>
      <c r="Q497" s="225"/>
      <c r="R497" s="226"/>
      <c r="S497" s="224"/>
    </row>
    <row r="498" spans="14:19" ht="15.75" customHeight="1">
      <c r="N498" s="220"/>
      <c r="O498" s="225"/>
      <c r="P498" s="222"/>
      <c r="Q498" s="225"/>
      <c r="R498" s="226"/>
      <c r="S498" s="224"/>
    </row>
    <row r="499" spans="14:19" ht="15.75" customHeight="1">
      <c r="N499" s="220"/>
      <c r="O499" s="221"/>
      <c r="P499" s="222"/>
      <c r="Q499" s="221"/>
      <c r="R499" s="223"/>
      <c r="S499" s="224"/>
    </row>
    <row r="500" spans="14:19" ht="15.75" customHeight="1">
      <c r="N500" s="220"/>
      <c r="O500" s="225"/>
      <c r="P500" s="222"/>
      <c r="Q500" s="225"/>
      <c r="R500" s="226"/>
      <c r="S500" s="224"/>
    </row>
    <row r="501" spans="14:19" ht="15.75" customHeight="1">
      <c r="N501" s="220"/>
      <c r="O501" s="225"/>
      <c r="P501" s="222"/>
      <c r="Q501" s="225"/>
      <c r="R501" s="226"/>
      <c r="S501" s="224"/>
    </row>
    <row r="502" spans="14:19" ht="15.75" customHeight="1">
      <c r="N502" s="220"/>
      <c r="O502" s="225"/>
      <c r="P502" s="222"/>
      <c r="Q502" s="225"/>
      <c r="R502" s="226"/>
      <c r="S502" s="224"/>
    </row>
    <row r="503" spans="14:19" ht="15.75" customHeight="1">
      <c r="N503" s="220"/>
      <c r="O503" s="225"/>
      <c r="P503" s="222"/>
      <c r="Q503" s="225"/>
      <c r="R503" s="226"/>
      <c r="S503" s="224"/>
    </row>
    <row r="504" spans="14:19" ht="15.75" customHeight="1">
      <c r="N504" s="220"/>
      <c r="O504" s="225"/>
      <c r="P504" s="222"/>
      <c r="Q504" s="225"/>
      <c r="R504" s="226"/>
      <c r="S504" s="224"/>
    </row>
    <row r="505" spans="14:19" ht="15.75" customHeight="1">
      <c r="N505" s="220"/>
      <c r="O505" s="221"/>
      <c r="P505" s="222"/>
      <c r="Q505" s="221"/>
      <c r="R505" s="223"/>
      <c r="S505" s="224"/>
    </row>
    <row r="506" spans="14:19" ht="15.75" customHeight="1">
      <c r="N506" s="220"/>
      <c r="O506" s="225"/>
      <c r="P506" s="222"/>
      <c r="Q506" s="225"/>
      <c r="R506" s="226"/>
      <c r="S506" s="224"/>
    </row>
    <row r="507" spans="14:19" ht="15.75" customHeight="1">
      <c r="N507" s="220"/>
      <c r="O507" s="225"/>
      <c r="P507" s="222"/>
      <c r="Q507" s="225"/>
      <c r="R507" s="226"/>
      <c r="S507" s="224"/>
    </row>
    <row r="508" spans="14:19" ht="15.75" customHeight="1">
      <c r="N508" s="220"/>
      <c r="O508" s="225"/>
      <c r="P508" s="222"/>
      <c r="Q508" s="225"/>
      <c r="R508" s="226"/>
      <c r="S508" s="224"/>
    </row>
    <row r="509" spans="14:19" ht="15.75" customHeight="1">
      <c r="N509" s="220"/>
      <c r="O509" s="225"/>
      <c r="P509" s="222"/>
      <c r="Q509" s="225"/>
      <c r="R509" s="226"/>
      <c r="S509" s="224"/>
    </row>
    <row r="510" spans="14:19" ht="15.75" customHeight="1">
      <c r="N510" s="220"/>
      <c r="O510" s="225"/>
      <c r="P510" s="222"/>
      <c r="Q510" s="225"/>
      <c r="R510" s="226"/>
      <c r="S510" s="224"/>
    </row>
    <row r="511" spans="14:19" ht="15.75" customHeight="1">
      <c r="N511" s="220"/>
      <c r="O511" s="225"/>
      <c r="P511" s="222"/>
      <c r="Q511" s="225"/>
      <c r="R511" s="226"/>
      <c r="S511" s="224"/>
    </row>
    <row r="512" spans="14:19" ht="15.75" customHeight="1">
      <c r="N512" s="220"/>
      <c r="O512" s="225"/>
      <c r="P512" s="222"/>
      <c r="Q512" s="225"/>
      <c r="R512" s="226"/>
      <c r="S512" s="224"/>
    </row>
    <row r="513" spans="14:19" ht="15.75" customHeight="1">
      <c r="N513" s="220"/>
      <c r="O513" s="221"/>
      <c r="P513" s="222"/>
      <c r="Q513" s="221"/>
      <c r="R513" s="223"/>
      <c r="S513" s="224"/>
    </row>
    <row r="514" spans="14:19" ht="15.75" customHeight="1">
      <c r="N514" s="220"/>
      <c r="O514" s="225"/>
      <c r="P514" s="222"/>
      <c r="Q514" s="225"/>
      <c r="R514" s="226"/>
      <c r="S514" s="224"/>
    </row>
    <row r="515" spans="14:19" ht="15.75" customHeight="1">
      <c r="N515" s="220"/>
      <c r="O515" s="225"/>
      <c r="P515" s="222"/>
      <c r="Q515" s="225"/>
      <c r="R515" s="226"/>
      <c r="S515" s="224"/>
    </row>
    <row r="516" spans="14:19" ht="15.75" customHeight="1">
      <c r="N516" s="220"/>
      <c r="O516" s="225"/>
      <c r="P516" s="222"/>
      <c r="Q516" s="225"/>
      <c r="R516" s="226"/>
      <c r="S516" s="224"/>
    </row>
    <row r="517" spans="14:19" ht="15.75" customHeight="1">
      <c r="N517" s="220"/>
      <c r="O517" s="225"/>
      <c r="P517" s="222"/>
      <c r="Q517" s="225"/>
      <c r="R517" s="226"/>
      <c r="S517" s="224"/>
    </row>
    <row r="518" spans="14:19" ht="15.75" customHeight="1">
      <c r="N518" s="220"/>
      <c r="O518" s="225"/>
      <c r="P518" s="222"/>
      <c r="Q518" s="225"/>
      <c r="R518" s="226"/>
      <c r="S518" s="224"/>
    </row>
    <row r="519" spans="14:19" ht="15.75" customHeight="1">
      <c r="N519" s="220"/>
      <c r="O519" s="221"/>
      <c r="P519" s="222"/>
      <c r="Q519" s="221"/>
      <c r="R519" s="223"/>
      <c r="S519" s="224"/>
    </row>
    <row r="520" spans="14:19" ht="15.75" customHeight="1">
      <c r="N520" s="220"/>
      <c r="O520" s="225"/>
      <c r="P520" s="222"/>
      <c r="Q520" s="225"/>
      <c r="R520" s="226"/>
      <c r="S520" s="224"/>
    </row>
    <row r="521" spans="14:19" ht="15.75" customHeight="1">
      <c r="N521" s="220"/>
      <c r="O521" s="225"/>
      <c r="P521" s="222"/>
      <c r="Q521" s="225"/>
      <c r="R521" s="226"/>
      <c r="S521" s="224"/>
    </row>
    <row r="522" spans="14:19" ht="15.75" customHeight="1">
      <c r="N522" s="220"/>
      <c r="O522" s="225"/>
      <c r="P522" s="222"/>
      <c r="Q522" s="225"/>
      <c r="R522" s="226"/>
      <c r="S522" s="224"/>
    </row>
    <row r="523" spans="14:19" ht="15.75" customHeight="1">
      <c r="N523" s="220"/>
      <c r="O523" s="225"/>
      <c r="P523" s="222"/>
      <c r="Q523" s="225"/>
      <c r="R523" s="226"/>
      <c r="S523" s="224"/>
    </row>
    <row r="524" spans="14:19" ht="15.75" customHeight="1">
      <c r="N524" s="220"/>
      <c r="O524" s="225"/>
      <c r="P524" s="222"/>
      <c r="Q524" s="225"/>
      <c r="R524" s="226"/>
      <c r="S524" s="224"/>
    </row>
  </sheetData>
  <autoFilter ref="F9:K11" xr:uid="{00000000-0009-0000-0000-000001000000}"/>
  <mergeCells count="6">
    <mergeCell ref="B4:C5"/>
    <mergeCell ref="K6:N6"/>
    <mergeCell ref="O6:R6"/>
    <mergeCell ref="E2:K2"/>
    <mergeCell ref="F7:K7"/>
    <mergeCell ref="N7:S7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100-000000000000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outlinePr summaryBelow="0" summaryRight="0"/>
  </sheetPr>
  <dimension ref="A1:AN126"/>
  <sheetViews>
    <sheetView tabSelected="1" topLeftCell="AA95" zoomScale="70" zoomScaleNormal="70" workbookViewId="0">
      <selection activeCell="AC101" sqref="AC101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7.453125" style="77" customWidth="1"/>
    <col min="7" max="7" width="24.54296875" style="41" customWidth="1"/>
    <col min="8" max="8" width="3.453125" style="41" customWidth="1"/>
    <col min="9" max="9" width="5.54296875" style="41" customWidth="1"/>
    <col min="10" max="10" width="26.26953125" style="41" customWidth="1"/>
    <col min="11" max="11" width="3.81640625" style="4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28" width="12.54296875" style="41"/>
    <col min="29" max="29" width="25.1796875" style="41" bestFit="1" customWidth="1"/>
    <col min="30" max="30" width="19.6328125" style="41" bestFit="1" customWidth="1"/>
    <col min="31" max="31" width="17.36328125" style="41" bestFit="1" customWidth="1"/>
    <col min="32" max="32" width="12.54296875" style="41"/>
    <col min="33" max="33" width="7.7265625" style="41" bestFit="1" customWidth="1"/>
    <col min="34" max="34" width="36.54296875" style="41" bestFit="1" customWidth="1"/>
    <col min="35" max="35" width="15.7265625" style="41" bestFit="1" customWidth="1"/>
    <col min="36" max="36" width="17.36328125" style="41" bestFit="1" customWidth="1"/>
    <col min="37" max="16384" width="12.54296875" style="41"/>
  </cols>
  <sheetData>
    <row r="1" spans="1:27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5"/>
      <c r="R1" s="84"/>
      <c r="S1" s="84"/>
      <c r="T1" s="84"/>
      <c r="U1" s="84"/>
      <c r="V1" s="84"/>
      <c r="W1" s="84"/>
      <c r="X1" s="84"/>
      <c r="Y1" s="84"/>
      <c r="Z1" s="84"/>
      <c r="AA1" s="79"/>
    </row>
    <row r="2" spans="1:27" ht="19.5" customHeight="1">
      <c r="A2" s="96"/>
      <c r="B2" s="96"/>
      <c r="C2" s="96" t="s">
        <v>71</v>
      </c>
      <c r="D2" s="78"/>
      <c r="E2" s="230" t="s">
        <v>79</v>
      </c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87"/>
      <c r="R2" s="84"/>
      <c r="S2" s="84"/>
      <c r="T2" s="84"/>
      <c r="U2" s="84"/>
      <c r="V2" s="84"/>
      <c r="W2" s="84"/>
      <c r="X2" s="84"/>
      <c r="Y2" s="84"/>
      <c r="Z2" s="84"/>
      <c r="AA2" s="79"/>
    </row>
    <row r="3" spans="1:27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87"/>
      <c r="R3" s="84"/>
      <c r="S3" s="84"/>
      <c r="T3" s="84"/>
      <c r="U3" s="84"/>
      <c r="V3" s="84"/>
      <c r="W3" s="84"/>
      <c r="X3" s="84"/>
      <c r="Y3" s="84"/>
      <c r="Z3" s="84"/>
      <c r="AA3" s="79"/>
    </row>
    <row r="4" spans="1:27" ht="16" customHeight="1">
      <c r="A4" s="62"/>
      <c r="B4" s="231" t="s">
        <v>72</v>
      </c>
      <c r="C4" s="231"/>
      <c r="D4" s="78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87"/>
      <c r="R4" s="84"/>
      <c r="S4" s="84"/>
      <c r="T4" s="84"/>
      <c r="U4" s="84"/>
      <c r="V4" s="84"/>
      <c r="W4" s="84"/>
      <c r="X4" s="84"/>
      <c r="Y4" s="84"/>
      <c r="Z4" s="84"/>
      <c r="AA4" s="79"/>
    </row>
    <row r="5" spans="1:27" ht="15.75" customHeight="1">
      <c r="A5" s="62"/>
      <c r="B5" s="231"/>
      <c r="C5" s="231"/>
      <c r="D5" s="78"/>
      <c r="E5" s="78"/>
      <c r="F5" s="78"/>
      <c r="G5" s="78"/>
      <c r="H5" s="84"/>
      <c r="I5" s="84"/>
      <c r="J5" s="78"/>
      <c r="K5" s="78"/>
      <c r="L5" s="78"/>
      <c r="M5" s="78"/>
      <c r="N5" s="78"/>
      <c r="O5" s="78"/>
      <c r="P5" s="78"/>
      <c r="Q5" s="112"/>
      <c r="R5" s="78"/>
      <c r="S5" s="78"/>
      <c r="T5" s="78"/>
      <c r="U5" s="78"/>
      <c r="V5" s="78"/>
      <c r="W5" s="78"/>
      <c r="X5" s="78"/>
      <c r="Y5" s="78"/>
      <c r="Z5" s="78"/>
      <c r="AA5" s="79"/>
    </row>
    <row r="6" spans="1:27" ht="25" customHeight="1">
      <c r="A6" s="62"/>
      <c r="B6" s="97"/>
      <c r="C6" s="99" t="s">
        <v>37</v>
      </c>
      <c r="D6" s="79"/>
      <c r="E6" s="86"/>
      <c r="F6" s="86"/>
      <c r="G6" s="107"/>
      <c r="H6" s="108"/>
      <c r="I6" s="108"/>
      <c r="J6" s="266"/>
      <c r="K6" s="267"/>
      <c r="L6" s="267"/>
      <c r="M6" s="267"/>
      <c r="N6" s="266"/>
      <c r="O6" s="266"/>
      <c r="P6" s="267"/>
      <c r="Q6" s="267"/>
      <c r="R6" s="268"/>
      <c r="S6" s="269"/>
      <c r="T6" s="269"/>
      <c r="U6" s="270"/>
      <c r="V6" s="269"/>
      <c r="W6" s="269"/>
      <c r="X6" s="268"/>
      <c r="Y6" s="269"/>
      <c r="Z6" s="82"/>
      <c r="AA6" s="79"/>
    </row>
    <row r="7" spans="1:27" ht="19" customHeight="1">
      <c r="A7" s="62"/>
      <c r="B7" s="62"/>
      <c r="C7" s="98" t="s">
        <v>38</v>
      </c>
      <c r="D7" s="80"/>
      <c r="E7" s="86"/>
      <c r="F7" s="106" t="s">
        <v>53</v>
      </c>
      <c r="G7" s="88"/>
      <c r="H7" s="42"/>
      <c r="I7" s="253" t="s">
        <v>55</v>
      </c>
      <c r="J7" s="253"/>
      <c r="K7" s="71"/>
      <c r="L7" s="265" t="s">
        <v>66</v>
      </c>
      <c r="M7" s="265"/>
      <c r="N7" s="42"/>
      <c r="O7" s="253">
        <v>2024</v>
      </c>
      <c r="P7" s="253"/>
      <c r="Q7" s="87"/>
      <c r="R7" s="84"/>
      <c r="S7" s="84"/>
      <c r="T7" s="84"/>
      <c r="U7" s="84"/>
      <c r="V7" s="84"/>
      <c r="W7" s="84"/>
      <c r="X7" s="84"/>
      <c r="Y7" s="84"/>
      <c r="Z7" s="84"/>
      <c r="AA7" s="79"/>
    </row>
    <row r="8" spans="1:27" ht="20.149999999999999" customHeight="1">
      <c r="A8" s="62"/>
      <c r="B8" s="62"/>
      <c r="C8" s="98" t="s">
        <v>39</v>
      </c>
      <c r="D8" s="80"/>
      <c r="E8" s="85"/>
      <c r="F8" s="85"/>
      <c r="G8" s="86"/>
      <c r="H8" s="87"/>
      <c r="I8" s="87"/>
      <c r="J8" s="87"/>
      <c r="K8" s="87"/>
      <c r="L8" s="87"/>
      <c r="M8" s="87"/>
      <c r="N8" s="87"/>
      <c r="O8" s="87"/>
      <c r="P8" s="87"/>
      <c r="Q8" s="87"/>
      <c r="R8" s="84"/>
      <c r="S8" s="84"/>
      <c r="T8" s="84"/>
      <c r="U8" s="84"/>
      <c r="V8" s="84"/>
      <c r="W8" s="84"/>
      <c r="X8" s="84"/>
      <c r="Y8" s="84"/>
      <c r="Z8" s="84"/>
      <c r="AA8" s="79"/>
    </row>
    <row r="9" spans="1:27" ht="20.149999999999999" customHeight="1">
      <c r="A9" s="62"/>
      <c r="B9" s="62"/>
      <c r="C9" s="98" t="s">
        <v>40</v>
      </c>
      <c r="D9" s="80"/>
      <c r="E9" s="85"/>
      <c r="F9" s="254" t="s">
        <v>75</v>
      </c>
      <c r="G9" s="256"/>
      <c r="H9" s="113"/>
      <c r="I9" s="257" t="s">
        <v>76</v>
      </c>
      <c r="J9" s="258"/>
      <c r="K9" s="86"/>
      <c r="L9" s="254" t="s">
        <v>77</v>
      </c>
      <c r="M9" s="255"/>
      <c r="N9" s="86"/>
      <c r="O9" s="254" t="s">
        <v>78</v>
      </c>
      <c r="P9" s="255"/>
      <c r="Q9" s="87"/>
      <c r="R9" s="84"/>
      <c r="S9" s="84"/>
      <c r="T9" s="84"/>
      <c r="U9" s="84"/>
      <c r="V9" s="84"/>
      <c r="W9" s="84"/>
      <c r="X9" s="84"/>
      <c r="Y9" s="84"/>
      <c r="Z9" s="84"/>
      <c r="AA9" s="79"/>
    </row>
    <row r="10" spans="1:27" ht="20.149999999999999" customHeight="1">
      <c r="A10" s="62"/>
      <c r="B10" s="62"/>
      <c r="C10" s="99" t="s">
        <v>41</v>
      </c>
      <c r="D10" s="79"/>
      <c r="E10" s="86"/>
      <c r="F10" s="89" t="s">
        <v>68</v>
      </c>
      <c r="G10" s="109" t="s">
        <v>69</v>
      </c>
      <c r="H10" s="86"/>
      <c r="I10" s="92" t="s">
        <v>68</v>
      </c>
      <c r="J10" s="93" t="s">
        <v>69</v>
      </c>
      <c r="K10" s="86"/>
      <c r="L10" s="89" t="s">
        <v>68</v>
      </c>
      <c r="M10" s="91" t="s">
        <v>69</v>
      </c>
      <c r="N10" s="86"/>
      <c r="O10" s="89" t="s">
        <v>68</v>
      </c>
      <c r="P10" s="91" t="s">
        <v>69</v>
      </c>
      <c r="Q10" s="86"/>
      <c r="R10" s="79"/>
      <c r="S10" s="79"/>
      <c r="T10" s="79"/>
      <c r="U10" s="79"/>
      <c r="V10" s="79"/>
      <c r="W10" s="79"/>
      <c r="X10" s="79"/>
      <c r="Y10" s="79"/>
      <c r="Z10" s="79"/>
      <c r="AA10" s="79"/>
    </row>
    <row r="11" spans="1:27" ht="25" customHeight="1">
      <c r="A11" s="62"/>
      <c r="B11" s="62"/>
      <c r="C11" s="99" t="s">
        <v>42</v>
      </c>
      <c r="D11" s="79"/>
      <c r="E11" s="86"/>
      <c r="F11" s="90">
        <v>0.5</v>
      </c>
      <c r="G11" s="111" t="s">
        <v>70</v>
      </c>
      <c r="H11" s="86"/>
      <c r="I11" s="94">
        <v>0.5</v>
      </c>
      <c r="J11" s="110" t="s">
        <v>70</v>
      </c>
      <c r="K11" s="86"/>
      <c r="L11" s="90">
        <v>0.5</v>
      </c>
      <c r="M11" s="111" t="s">
        <v>70</v>
      </c>
      <c r="N11" s="86"/>
      <c r="O11" s="90">
        <v>0.5</v>
      </c>
      <c r="P11" s="111" t="s">
        <v>70</v>
      </c>
      <c r="Q11" s="86"/>
      <c r="R11" s="79"/>
      <c r="S11" s="79"/>
      <c r="T11" s="79"/>
      <c r="U11" s="79"/>
      <c r="V11" s="79"/>
      <c r="W11" s="79"/>
      <c r="X11" s="79"/>
      <c r="Y11" s="79"/>
      <c r="Z11" s="79"/>
      <c r="AA11" s="79"/>
    </row>
    <row r="12" spans="1:27" ht="26.15" customHeight="1">
      <c r="A12" s="62"/>
      <c r="B12" s="62"/>
      <c r="C12" s="99" t="s">
        <v>73</v>
      </c>
      <c r="D12" s="79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79"/>
      <c r="S12" s="79"/>
      <c r="T12" s="79"/>
      <c r="U12" s="79"/>
      <c r="V12" s="79"/>
      <c r="W12" s="79"/>
      <c r="X12" s="79"/>
      <c r="Y12" s="79"/>
      <c r="Z12" s="79"/>
      <c r="AA12" s="79"/>
    </row>
    <row r="13" spans="1:27" ht="28.5" customHeight="1">
      <c r="A13" s="62"/>
      <c r="B13" s="62"/>
      <c r="C13" s="99" t="s">
        <v>74</v>
      </c>
      <c r="D13" s="79"/>
      <c r="E13" s="86"/>
      <c r="F13" s="254" t="s">
        <v>75</v>
      </c>
      <c r="G13" s="256"/>
      <c r="H13" s="113"/>
      <c r="I13" s="257" t="s">
        <v>76</v>
      </c>
      <c r="J13" s="258"/>
      <c r="K13" s="86"/>
      <c r="L13" s="254" t="s">
        <v>77</v>
      </c>
      <c r="M13" s="255"/>
      <c r="N13" s="86"/>
      <c r="O13" s="254" t="s">
        <v>78</v>
      </c>
      <c r="P13" s="255"/>
      <c r="Q13" s="86"/>
      <c r="R13" s="79"/>
      <c r="S13" s="79"/>
      <c r="T13" s="79"/>
      <c r="U13" s="79"/>
      <c r="V13" s="79"/>
      <c r="W13" s="79"/>
      <c r="X13" s="79"/>
      <c r="Y13" s="79"/>
      <c r="Z13" s="79"/>
      <c r="AA13" s="79"/>
    </row>
    <row r="14" spans="1:27" ht="15.75" customHeight="1">
      <c r="A14" s="62"/>
      <c r="B14" s="62"/>
      <c r="C14" s="62"/>
      <c r="D14" s="79"/>
      <c r="E14" s="86"/>
      <c r="F14" s="89" t="s">
        <v>68</v>
      </c>
      <c r="G14" s="109" t="s">
        <v>69</v>
      </c>
      <c r="H14" s="86"/>
      <c r="I14" s="92" t="s">
        <v>68</v>
      </c>
      <c r="J14" s="93" t="s">
        <v>69</v>
      </c>
      <c r="K14" s="86"/>
      <c r="L14" s="89" t="s">
        <v>68</v>
      </c>
      <c r="M14" s="91" t="s">
        <v>69</v>
      </c>
      <c r="N14" s="86"/>
      <c r="O14" s="89" t="s">
        <v>68</v>
      </c>
      <c r="P14" s="91" t="s">
        <v>69</v>
      </c>
      <c r="Q14" s="86"/>
      <c r="R14" s="79"/>
      <c r="S14" s="79"/>
      <c r="T14" s="79"/>
      <c r="U14" s="79"/>
      <c r="V14" s="79"/>
      <c r="W14" s="79"/>
      <c r="X14" s="79"/>
      <c r="Y14" s="79"/>
      <c r="Z14" s="79"/>
      <c r="AA14" s="79"/>
    </row>
    <row r="15" spans="1:27" ht="15.75" customHeight="1">
      <c r="A15" s="62"/>
      <c r="B15" s="62"/>
      <c r="C15" s="62"/>
      <c r="D15" s="79"/>
      <c r="E15" s="86"/>
      <c r="F15" s="90">
        <v>0.5</v>
      </c>
      <c r="G15" s="111" t="s">
        <v>70</v>
      </c>
      <c r="H15" s="86"/>
      <c r="I15" s="94">
        <v>0.5</v>
      </c>
      <c r="J15" s="110" t="s">
        <v>70</v>
      </c>
      <c r="K15" s="86"/>
      <c r="L15" s="90">
        <v>0.5</v>
      </c>
      <c r="M15" s="111" t="s">
        <v>70</v>
      </c>
      <c r="N15" s="86"/>
      <c r="O15" s="90">
        <v>0.5</v>
      </c>
      <c r="P15" s="111" t="s">
        <v>70</v>
      </c>
      <c r="Q15" s="86"/>
      <c r="R15" s="79"/>
      <c r="S15" s="79"/>
      <c r="T15" s="79"/>
      <c r="U15" s="79"/>
      <c r="V15" s="79"/>
      <c r="W15" s="79"/>
      <c r="X15" s="79"/>
      <c r="Y15" s="79"/>
      <c r="Z15" s="79"/>
      <c r="AA15" s="79"/>
    </row>
    <row r="16" spans="1:27" ht="15.75" customHeight="1">
      <c r="A16" s="62"/>
      <c r="B16" s="62"/>
      <c r="C16" s="62"/>
      <c r="D16" s="79" t="s">
        <v>52</v>
      </c>
      <c r="E16" s="86"/>
      <c r="F16" s="86"/>
      <c r="G16" s="86"/>
      <c r="H16" s="86"/>
      <c r="I16" s="86"/>
      <c r="J16" s="86"/>
      <c r="K16" s="86"/>
      <c r="L16" s="86"/>
      <c r="M16" s="86"/>
      <c r="N16" s="86"/>
      <c r="O16" s="86"/>
      <c r="P16" s="86"/>
      <c r="Q16" s="86"/>
      <c r="R16" s="79"/>
      <c r="S16" s="79"/>
      <c r="T16" s="79"/>
      <c r="U16" s="79"/>
      <c r="V16" s="79"/>
      <c r="W16" s="79"/>
      <c r="X16" s="79"/>
      <c r="Y16" s="79"/>
      <c r="Z16" s="79"/>
      <c r="AA16" s="79"/>
    </row>
    <row r="17" spans="1:27" ht="15.75" customHeight="1">
      <c r="A17" s="62"/>
      <c r="B17" s="62"/>
      <c r="C17" s="62"/>
      <c r="D17" s="79"/>
      <c r="E17" s="86"/>
      <c r="F17" s="86"/>
      <c r="G17" s="86"/>
      <c r="H17" s="86"/>
      <c r="I17" s="86"/>
      <c r="J17" s="86"/>
      <c r="K17" s="86"/>
      <c r="L17" s="86"/>
      <c r="M17" s="86"/>
      <c r="N17" s="86"/>
      <c r="O17" s="86"/>
      <c r="P17" s="86"/>
      <c r="Q17" s="86"/>
      <c r="R17" s="79"/>
      <c r="S17" s="79"/>
      <c r="T17" s="79"/>
      <c r="U17" s="79"/>
      <c r="V17" s="79"/>
      <c r="W17" s="79"/>
      <c r="X17" s="79"/>
      <c r="Y17" s="79"/>
      <c r="Z17" s="79"/>
      <c r="AA17" s="79"/>
    </row>
    <row r="18" spans="1:27" ht="15.75" customHeight="1">
      <c r="A18" s="62"/>
      <c r="B18" s="62"/>
      <c r="C18" s="62"/>
      <c r="D18" s="79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79"/>
      <c r="S18" s="79"/>
      <c r="T18" s="79"/>
      <c r="U18" s="79"/>
      <c r="V18" s="79"/>
      <c r="W18" s="79"/>
      <c r="X18" s="79"/>
      <c r="Y18" s="79"/>
      <c r="Z18" s="79"/>
      <c r="AA18" s="79"/>
    </row>
    <row r="19" spans="1:27" ht="15.75" customHeight="1">
      <c r="A19" s="62"/>
      <c r="B19" s="62"/>
      <c r="C19" s="62"/>
      <c r="D19" s="79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79"/>
      <c r="S19" s="79"/>
      <c r="T19" s="79"/>
      <c r="U19" s="79"/>
      <c r="V19" s="79"/>
      <c r="W19" s="79"/>
      <c r="X19" s="79"/>
      <c r="Y19" s="79"/>
      <c r="Z19" s="79"/>
      <c r="AA19" s="79"/>
    </row>
    <row r="20" spans="1:27" ht="15.75" customHeight="1">
      <c r="A20" s="62"/>
      <c r="B20" s="62"/>
      <c r="C20" s="62"/>
      <c r="D20" s="79"/>
      <c r="E20" s="86"/>
      <c r="F20" s="86"/>
      <c r="G20" s="86"/>
      <c r="H20" s="86"/>
      <c r="I20" s="86"/>
      <c r="J20" s="86"/>
      <c r="K20" s="86"/>
      <c r="L20" s="86"/>
      <c r="M20" s="86"/>
      <c r="N20" s="86"/>
      <c r="O20" s="86"/>
      <c r="P20" s="86"/>
      <c r="Q20" s="86"/>
      <c r="R20" s="79"/>
      <c r="S20" s="79"/>
      <c r="T20" s="79"/>
      <c r="U20" s="79"/>
      <c r="V20" s="79"/>
      <c r="W20" s="79"/>
      <c r="X20" s="79"/>
      <c r="Y20" s="79"/>
      <c r="Z20" s="79"/>
      <c r="AA20" s="79"/>
    </row>
    <row r="21" spans="1:27" ht="15.75" customHeight="1">
      <c r="A21" s="62"/>
      <c r="B21" s="62"/>
      <c r="C21" s="62"/>
      <c r="D21" s="79"/>
      <c r="E21" s="86"/>
      <c r="F21" s="86"/>
      <c r="G21" s="86"/>
      <c r="H21" s="86"/>
      <c r="I21" s="86"/>
      <c r="J21" s="86"/>
      <c r="K21" s="86"/>
      <c r="L21" s="86"/>
      <c r="M21" s="86"/>
      <c r="N21" s="86"/>
      <c r="O21" s="86"/>
      <c r="P21" s="86"/>
      <c r="Q21" s="86"/>
      <c r="R21" s="79"/>
      <c r="S21" s="79"/>
      <c r="T21" s="79"/>
      <c r="U21" s="79"/>
      <c r="V21" s="79"/>
      <c r="W21" s="79"/>
      <c r="X21" s="79"/>
      <c r="Y21" s="79"/>
      <c r="Z21" s="79"/>
      <c r="AA21" s="79"/>
    </row>
    <row r="22" spans="1:27" ht="15.75" customHeight="1">
      <c r="A22" s="62"/>
      <c r="B22" s="62"/>
      <c r="C22" s="62"/>
      <c r="D22" s="79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  <c r="Q22" s="86"/>
      <c r="R22" s="79"/>
      <c r="S22" s="79"/>
      <c r="T22" s="79"/>
      <c r="U22" s="79"/>
      <c r="V22" s="79"/>
      <c r="W22" s="79"/>
      <c r="X22" s="79"/>
      <c r="Y22" s="79"/>
      <c r="Z22" s="79"/>
      <c r="AA22" s="79"/>
    </row>
    <row r="23" spans="1:27" ht="15.75" customHeight="1">
      <c r="A23" s="62"/>
      <c r="B23" s="62"/>
      <c r="C23" s="62"/>
      <c r="D23" s="79"/>
      <c r="E23" s="86"/>
      <c r="F23" s="86"/>
      <c r="G23" s="86"/>
      <c r="H23" s="86"/>
      <c r="I23" s="86"/>
      <c r="J23" s="86"/>
      <c r="K23" s="86"/>
      <c r="L23" s="86"/>
      <c r="M23" s="86"/>
      <c r="N23" s="86"/>
      <c r="O23" s="86"/>
      <c r="P23" s="86"/>
      <c r="Q23" s="86"/>
      <c r="R23" s="79"/>
      <c r="S23" s="79"/>
      <c r="T23" s="79"/>
      <c r="U23" s="79"/>
      <c r="V23" s="79"/>
      <c r="W23" s="79"/>
      <c r="X23" s="79"/>
      <c r="Y23" s="79"/>
      <c r="Z23" s="79"/>
      <c r="AA23" s="79"/>
    </row>
    <row r="24" spans="1:27" ht="15.75" customHeight="1">
      <c r="A24" s="62"/>
      <c r="B24" s="62"/>
      <c r="C24" s="62"/>
      <c r="D24" s="79"/>
      <c r="E24" s="86"/>
      <c r="F24" s="86"/>
      <c r="G24" s="86"/>
      <c r="H24" s="86"/>
      <c r="I24" s="86"/>
      <c r="J24" s="86"/>
      <c r="K24" s="86"/>
      <c r="L24" s="86"/>
      <c r="M24" s="86"/>
      <c r="N24" s="86"/>
      <c r="O24" s="86"/>
      <c r="P24" s="86"/>
      <c r="Q24" s="86"/>
      <c r="R24" s="79"/>
      <c r="S24" s="79"/>
      <c r="T24" s="79"/>
      <c r="U24" s="79"/>
      <c r="V24" s="79"/>
      <c r="W24" s="79"/>
      <c r="X24" s="79"/>
      <c r="Y24" s="79"/>
      <c r="Z24" s="79"/>
      <c r="AA24" s="79"/>
    </row>
    <row r="25" spans="1:27" ht="15.75" customHeight="1">
      <c r="A25" s="62"/>
      <c r="B25" s="62"/>
      <c r="C25" s="62"/>
      <c r="D25" s="79"/>
      <c r="E25" s="86"/>
      <c r="F25" s="86"/>
      <c r="G25" s="86"/>
      <c r="H25" s="86"/>
      <c r="I25" s="86"/>
      <c r="J25" s="86"/>
      <c r="K25" s="86"/>
      <c r="L25" s="86"/>
      <c r="M25" s="86"/>
      <c r="N25" s="86"/>
      <c r="O25" s="86"/>
      <c r="P25" s="86"/>
      <c r="Q25" s="86"/>
      <c r="R25" s="79"/>
      <c r="S25" s="79"/>
      <c r="T25" s="79"/>
      <c r="U25" s="79"/>
      <c r="V25" s="79"/>
      <c r="W25" s="79"/>
      <c r="X25" s="79"/>
      <c r="Y25" s="79"/>
      <c r="Z25" s="79"/>
      <c r="AA25" s="79"/>
    </row>
    <row r="26" spans="1:27" ht="15.75" customHeight="1">
      <c r="A26" s="62"/>
      <c r="B26" s="62"/>
      <c r="C26" s="62"/>
      <c r="D26" s="79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79"/>
      <c r="S26" s="79"/>
      <c r="T26" s="79"/>
      <c r="U26" s="79"/>
      <c r="V26" s="79"/>
      <c r="W26" s="79"/>
      <c r="X26" s="79"/>
      <c r="Y26" s="79"/>
      <c r="Z26" s="79"/>
      <c r="AA26" s="79"/>
    </row>
    <row r="27" spans="1:27" ht="15.75" customHeight="1">
      <c r="A27" s="62"/>
      <c r="B27" s="62"/>
      <c r="C27" s="62"/>
      <c r="D27" s="79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79"/>
      <c r="S27" s="79"/>
      <c r="T27" s="79"/>
      <c r="U27" s="79"/>
      <c r="V27" s="79"/>
      <c r="W27" s="79"/>
      <c r="X27" s="79"/>
      <c r="Y27" s="79"/>
      <c r="Z27" s="79"/>
      <c r="AA27" s="79"/>
    </row>
    <row r="28" spans="1:27" ht="15.75" customHeight="1">
      <c r="A28" s="62"/>
      <c r="B28" s="62"/>
      <c r="C28" s="62"/>
      <c r="D28" s="79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79"/>
      <c r="S28" s="79"/>
      <c r="T28" s="79"/>
      <c r="U28" s="79"/>
      <c r="V28" s="79"/>
      <c r="W28" s="79"/>
      <c r="X28" s="79"/>
      <c r="Y28" s="79"/>
      <c r="Z28" s="79"/>
      <c r="AA28" s="79"/>
    </row>
    <row r="29" spans="1:27" ht="15.75" customHeight="1">
      <c r="A29" s="62"/>
      <c r="B29" s="62"/>
      <c r="C29" s="62"/>
      <c r="D29" s="79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79"/>
      <c r="S29" s="79"/>
      <c r="T29" s="79"/>
      <c r="U29" s="79"/>
      <c r="V29" s="79"/>
      <c r="W29" s="79"/>
      <c r="X29" s="79"/>
      <c r="Y29" s="79"/>
      <c r="Z29" s="79"/>
      <c r="AA29" s="79"/>
    </row>
    <row r="30" spans="1:27" ht="15.75" customHeight="1">
      <c r="A30" s="62"/>
      <c r="B30" s="62"/>
      <c r="C30" s="62"/>
      <c r="D30" s="79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79"/>
      <c r="S30" s="79"/>
      <c r="T30" s="79"/>
      <c r="U30" s="79"/>
      <c r="V30" s="79"/>
      <c r="W30" s="79"/>
      <c r="X30" s="79"/>
      <c r="Y30" s="79"/>
      <c r="Z30" s="79"/>
      <c r="AA30" s="79"/>
    </row>
    <row r="31" spans="1:27" ht="15.75" customHeight="1">
      <c r="A31" s="62"/>
      <c r="B31" s="62"/>
      <c r="C31" s="62"/>
      <c r="D31" s="79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79"/>
      <c r="S31" s="79"/>
      <c r="T31" s="79"/>
      <c r="U31" s="79"/>
      <c r="V31" s="79"/>
      <c r="W31" s="79"/>
      <c r="X31" s="79"/>
      <c r="Y31" s="79"/>
      <c r="Z31" s="79"/>
      <c r="AA31" s="79"/>
    </row>
    <row r="32" spans="1:27" ht="15.75" customHeight="1">
      <c r="A32" s="62"/>
      <c r="B32" s="62"/>
      <c r="C32" s="62"/>
      <c r="D32" s="79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79"/>
      <c r="S32" s="79"/>
      <c r="T32" s="79"/>
      <c r="U32" s="79"/>
      <c r="V32" s="79"/>
      <c r="W32" s="79"/>
      <c r="X32" s="79"/>
      <c r="Y32" s="79"/>
      <c r="Z32" s="79"/>
      <c r="AA32" s="79"/>
    </row>
    <row r="33" spans="1:27" ht="15.75" customHeight="1">
      <c r="A33" s="62"/>
      <c r="B33" s="62"/>
      <c r="C33" s="62"/>
      <c r="D33" s="79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79"/>
      <c r="S33" s="79"/>
      <c r="T33" s="79"/>
      <c r="U33" s="79"/>
      <c r="V33" s="79"/>
      <c r="W33" s="79"/>
      <c r="X33" s="79"/>
      <c r="Y33" s="79"/>
      <c r="Z33" s="79"/>
      <c r="AA33" s="79"/>
    </row>
    <row r="34" spans="1:27" ht="15.75" customHeight="1">
      <c r="A34" s="62"/>
      <c r="B34" s="62"/>
      <c r="C34" s="62"/>
      <c r="D34" s="79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79"/>
      <c r="S34" s="79"/>
      <c r="T34" s="79"/>
      <c r="U34" s="79"/>
      <c r="V34" s="79"/>
      <c r="W34" s="79"/>
      <c r="X34" s="79"/>
      <c r="Y34" s="79"/>
      <c r="Z34" s="79"/>
      <c r="AA34" s="79"/>
    </row>
    <row r="35" spans="1:27" ht="15.75" customHeight="1">
      <c r="A35" s="62"/>
      <c r="B35" s="62"/>
      <c r="C35" s="62"/>
      <c r="D35" s="79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79"/>
      <c r="S35" s="79"/>
      <c r="T35" s="79"/>
      <c r="U35" s="79"/>
      <c r="V35" s="79"/>
      <c r="W35" s="79"/>
      <c r="X35" s="79"/>
      <c r="Y35" s="79"/>
      <c r="Z35" s="79"/>
      <c r="AA35" s="79"/>
    </row>
    <row r="36" spans="1:27" ht="15.75" customHeight="1">
      <c r="A36" s="62"/>
      <c r="B36" s="62"/>
      <c r="C36" s="62"/>
      <c r="D36" s="79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79"/>
      <c r="S36" s="79"/>
      <c r="T36" s="79"/>
      <c r="U36" s="79"/>
      <c r="V36" s="79"/>
      <c r="W36" s="79"/>
      <c r="X36" s="79"/>
      <c r="Y36" s="79"/>
      <c r="Z36" s="79"/>
      <c r="AA36" s="79"/>
    </row>
    <row r="37" spans="1:27" ht="15.75" customHeight="1">
      <c r="A37" s="62"/>
      <c r="B37" s="62"/>
      <c r="C37" s="62"/>
      <c r="D37" s="79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</row>
    <row r="38" spans="1:27" ht="15.75" customHeight="1">
      <c r="A38" s="62"/>
      <c r="B38" s="62"/>
      <c r="C38" s="62"/>
      <c r="D38" s="79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</row>
    <row r="39" spans="1:27" ht="15.75" customHeight="1">
      <c r="A39" s="62"/>
      <c r="B39" s="62"/>
      <c r="C39" s="62"/>
      <c r="D39" s="79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</row>
    <row r="40" spans="1:27" ht="15.75" customHeight="1">
      <c r="A40" s="62"/>
      <c r="B40" s="62"/>
      <c r="C40" s="62"/>
      <c r="D40" s="79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</row>
    <row r="41" spans="1:27" ht="15.75" customHeight="1">
      <c r="A41" s="62"/>
      <c r="B41" s="62"/>
      <c r="C41" s="62"/>
      <c r="D41" s="79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</row>
    <row r="42" spans="1:27" ht="15.75" customHeight="1">
      <c r="A42" s="62"/>
      <c r="B42" s="62"/>
      <c r="C42" s="62"/>
      <c r="D42" s="79"/>
      <c r="E42" s="86"/>
      <c r="F42" s="86"/>
    </row>
    <row r="43" spans="1:27" ht="15.75" customHeight="1">
      <c r="A43" s="62"/>
      <c r="B43" s="62"/>
      <c r="C43" s="62"/>
      <c r="D43" s="79"/>
      <c r="E43" s="86"/>
      <c r="F43" s="86"/>
    </row>
    <row r="44" spans="1:27" ht="15.75" customHeight="1">
      <c r="A44" s="62"/>
      <c r="B44" s="62"/>
      <c r="C44" s="62"/>
      <c r="D44" s="79"/>
      <c r="E44" s="86"/>
      <c r="F44" s="86"/>
    </row>
    <row r="45" spans="1:27" ht="15.75" customHeight="1">
      <c r="D45" s="79"/>
      <c r="E45" s="86"/>
      <c r="F45" s="86"/>
    </row>
    <row r="46" spans="1:27" ht="15.75" customHeight="1">
      <c r="D46" s="79"/>
      <c r="E46" s="86"/>
      <c r="F46" s="86"/>
    </row>
    <row r="61" spans="7:19" ht="15.75" customHeight="1">
      <c r="H61" s="240" t="s">
        <v>16</v>
      </c>
      <c r="I61" s="240"/>
      <c r="J61" s="240"/>
      <c r="K61" s="240"/>
      <c r="L61" s="240"/>
      <c r="M61" s="240"/>
      <c r="N61" s="240"/>
      <c r="O61" s="240"/>
      <c r="P61" s="240"/>
      <c r="Q61" s="240"/>
      <c r="R61" s="240"/>
      <c r="S61" s="240"/>
    </row>
    <row r="62" spans="7:19" ht="15.75" customHeight="1">
      <c r="G62" s="44" t="s">
        <v>9</v>
      </c>
      <c r="H62" s="56">
        <v>1</v>
      </c>
      <c r="I62" s="72"/>
      <c r="J62" s="56">
        <v>2</v>
      </c>
      <c r="K62" s="56">
        <v>3</v>
      </c>
      <c r="L62" s="74"/>
      <c r="M62" s="56">
        <v>5</v>
      </c>
      <c r="N62" s="56">
        <v>6</v>
      </c>
      <c r="O62" s="74"/>
      <c r="P62" s="56">
        <v>7</v>
      </c>
      <c r="Q62" s="56">
        <v>8</v>
      </c>
      <c r="R62" s="56">
        <v>9</v>
      </c>
      <c r="S62" s="56">
        <v>10</v>
      </c>
    </row>
    <row r="63" spans="7:19" ht="15.75" customHeight="1">
      <c r="G63" s="44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44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44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44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44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44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44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14:40" ht="15.75" customHeight="1">
      <c r="N86" s="252" t="s">
        <v>11</v>
      </c>
      <c r="O86" s="252"/>
      <c r="P86" s="252"/>
      <c r="Q86" s="252"/>
      <c r="R86" s="252"/>
      <c r="S86" s="252"/>
      <c r="U86" s="252" t="s">
        <v>28</v>
      </c>
      <c r="V86" s="252"/>
      <c r="W86" s="252"/>
      <c r="X86" s="252"/>
      <c r="Y86" s="252"/>
      <c r="AA86" s="77"/>
      <c r="AB86" s="237" t="s">
        <v>15</v>
      </c>
      <c r="AC86" s="238"/>
      <c r="AD86" s="238"/>
      <c r="AE86" s="239"/>
      <c r="AF86" s="43"/>
      <c r="AG86" s="237" t="s">
        <v>15</v>
      </c>
      <c r="AH86" s="238"/>
      <c r="AI86" s="238"/>
      <c r="AJ86" s="239"/>
    </row>
    <row r="87" spans="14:40" ht="15.75" customHeight="1">
      <c r="N87" s="252"/>
      <c r="O87" s="252"/>
      <c r="P87" s="252"/>
      <c r="Q87" s="252"/>
      <c r="R87" s="252"/>
      <c r="S87" s="252"/>
      <c r="U87" s="252"/>
      <c r="V87" s="252"/>
      <c r="W87" s="252"/>
      <c r="X87" s="252"/>
      <c r="Y87" s="252"/>
      <c r="AA87" s="77"/>
      <c r="AB87" s="44" t="s">
        <v>0</v>
      </c>
      <c r="AC87" s="44" t="s">
        <v>9</v>
      </c>
      <c r="AD87" s="44" t="s">
        <v>30</v>
      </c>
      <c r="AE87" s="44" t="s">
        <v>36</v>
      </c>
      <c r="AF87" s="100"/>
      <c r="AG87" s="228" t="s">
        <v>0</v>
      </c>
      <c r="AH87" s="228" t="s">
        <v>9</v>
      </c>
      <c r="AI87" s="228" t="s">
        <v>30</v>
      </c>
      <c r="AJ87" s="228" t="s">
        <v>36</v>
      </c>
    </row>
    <row r="88" spans="14:40" ht="15.75" customHeight="1">
      <c r="N88" s="241">
        <v>6000000</v>
      </c>
      <c r="O88" s="242"/>
      <c r="P88" s="242"/>
      <c r="Q88" s="242"/>
      <c r="R88" s="242"/>
      <c r="S88" s="243"/>
      <c r="U88" s="241">
        <v>6000000</v>
      </c>
      <c r="V88" s="242"/>
      <c r="W88" s="242"/>
      <c r="X88" s="242"/>
      <c r="Y88" s="243"/>
      <c r="AA88" s="77"/>
      <c r="AB88" s="44">
        <v>1</v>
      </c>
      <c r="AC88" s="44" t="s">
        <v>1</v>
      </c>
      <c r="AD88" s="45">
        <v>900000</v>
      </c>
      <c r="AE88" s="45">
        <f>AD88/2</f>
        <v>450000</v>
      </c>
      <c r="AF88" s="101"/>
      <c r="AG88" s="228">
        <v>1</v>
      </c>
      <c r="AH88" s="228" t="s">
        <v>226</v>
      </c>
      <c r="AI88" s="45">
        <v>1000000</v>
      </c>
      <c r="AJ88" s="45">
        <f>AI88/2</f>
        <v>500000</v>
      </c>
    </row>
    <row r="89" spans="14:40" ht="15.75" customHeight="1">
      <c r="N89" s="244"/>
      <c r="O89" s="245"/>
      <c r="P89" s="245"/>
      <c r="Q89" s="245"/>
      <c r="R89" s="245"/>
      <c r="S89" s="246"/>
      <c r="U89" s="244"/>
      <c r="V89" s="245"/>
      <c r="W89" s="245"/>
      <c r="X89" s="245"/>
      <c r="Y89" s="246"/>
      <c r="AA89" s="77"/>
      <c r="AB89" s="44">
        <v>2</v>
      </c>
      <c r="AC89" s="44" t="s">
        <v>2</v>
      </c>
      <c r="AD89" s="45">
        <v>800000</v>
      </c>
      <c r="AE89" s="45">
        <f t="shared" ref="AE89:AE94" si="0">AD89/2</f>
        <v>400000</v>
      </c>
      <c r="AF89" s="101"/>
      <c r="AG89" s="228">
        <v>2</v>
      </c>
      <c r="AH89" s="228" t="s">
        <v>250</v>
      </c>
      <c r="AI89" s="45">
        <v>1500000</v>
      </c>
      <c r="AJ89" s="45">
        <f t="shared" ref="AJ89:AJ92" si="1">AI89/2</f>
        <v>750000</v>
      </c>
    </row>
    <row r="90" spans="14:40" ht="15.75" customHeight="1">
      <c r="N90" s="244"/>
      <c r="O90" s="245"/>
      <c r="P90" s="245"/>
      <c r="Q90" s="245"/>
      <c r="R90" s="245"/>
      <c r="S90" s="246"/>
      <c r="U90" s="244"/>
      <c r="V90" s="245"/>
      <c r="W90" s="245"/>
      <c r="X90" s="245"/>
      <c r="Y90" s="246"/>
      <c r="AA90" s="77"/>
      <c r="AB90" s="44">
        <v>3</v>
      </c>
      <c r="AC90" s="44" t="s">
        <v>3</v>
      </c>
      <c r="AD90" s="45">
        <v>900000</v>
      </c>
      <c r="AE90" s="45">
        <f t="shared" si="0"/>
        <v>450000</v>
      </c>
      <c r="AF90" s="101"/>
      <c r="AG90" s="228">
        <v>3</v>
      </c>
      <c r="AH90" s="228" t="s">
        <v>225</v>
      </c>
      <c r="AI90" s="45">
        <v>900000</v>
      </c>
      <c r="AJ90" s="45">
        <f t="shared" si="1"/>
        <v>450000</v>
      </c>
    </row>
    <row r="91" spans="14:40" ht="15.75" customHeight="1">
      <c r="N91" s="244"/>
      <c r="O91" s="245"/>
      <c r="P91" s="245"/>
      <c r="Q91" s="245"/>
      <c r="R91" s="245"/>
      <c r="S91" s="246"/>
      <c r="U91" s="244"/>
      <c r="V91" s="245"/>
      <c r="W91" s="245"/>
      <c r="X91" s="245"/>
      <c r="Y91" s="246"/>
      <c r="AA91" s="77"/>
      <c r="AB91" s="44">
        <v>4</v>
      </c>
      <c r="AC91" s="44" t="s">
        <v>4</v>
      </c>
      <c r="AD91" s="45">
        <v>1000000</v>
      </c>
      <c r="AE91" s="45">
        <f t="shared" si="0"/>
        <v>500000</v>
      </c>
      <c r="AF91" s="101"/>
      <c r="AG91" s="228">
        <v>4</v>
      </c>
      <c r="AH91" s="228" t="s">
        <v>251</v>
      </c>
      <c r="AI91" s="45">
        <v>1000000</v>
      </c>
      <c r="AJ91" s="45">
        <f t="shared" si="1"/>
        <v>500000</v>
      </c>
      <c r="AL91" s="41">
        <v>300000</v>
      </c>
    </row>
    <row r="92" spans="14:40" ht="15.75" customHeight="1">
      <c r="N92" s="244"/>
      <c r="O92" s="245"/>
      <c r="P92" s="245"/>
      <c r="Q92" s="245"/>
      <c r="R92" s="245"/>
      <c r="S92" s="246"/>
      <c r="U92" s="244"/>
      <c r="V92" s="245"/>
      <c r="W92" s="245"/>
      <c r="X92" s="245"/>
      <c r="Y92" s="246"/>
      <c r="AA92" s="77"/>
      <c r="AB92" s="44">
        <v>5</v>
      </c>
      <c r="AC92" s="44" t="s">
        <v>5</v>
      </c>
      <c r="AD92" s="45">
        <v>400000</v>
      </c>
      <c r="AE92" s="45">
        <f t="shared" si="0"/>
        <v>200000</v>
      </c>
      <c r="AF92" s="101"/>
      <c r="AG92" s="228">
        <v>5</v>
      </c>
      <c r="AH92" s="228" t="s">
        <v>7</v>
      </c>
      <c r="AI92" s="45">
        <v>100000</v>
      </c>
      <c r="AJ92" s="45">
        <f t="shared" si="1"/>
        <v>50000</v>
      </c>
    </row>
    <row r="93" spans="14:40" ht="15.75" customHeight="1">
      <c r="N93" s="244"/>
      <c r="O93" s="245"/>
      <c r="P93" s="245"/>
      <c r="Q93" s="245"/>
      <c r="R93" s="245"/>
      <c r="S93" s="246"/>
      <c r="U93" s="244"/>
      <c r="V93" s="245"/>
      <c r="W93" s="245"/>
      <c r="X93" s="245"/>
      <c r="Y93" s="246"/>
      <c r="AA93" s="77"/>
      <c r="AB93" s="44">
        <v>6</v>
      </c>
      <c r="AC93" s="44" t="s">
        <v>6</v>
      </c>
      <c r="AD93" s="45">
        <v>100000</v>
      </c>
      <c r="AE93" s="45">
        <f t="shared" si="0"/>
        <v>50000</v>
      </c>
      <c r="AF93" s="101"/>
      <c r="AG93" s="228">
        <v>6</v>
      </c>
      <c r="AH93" s="228"/>
      <c r="AI93" s="45"/>
      <c r="AJ93" s="45"/>
    </row>
    <row r="94" spans="14:40" ht="15.75" customHeight="1">
      <c r="N94" s="244"/>
      <c r="O94" s="245"/>
      <c r="P94" s="245"/>
      <c r="Q94" s="245"/>
      <c r="R94" s="245"/>
      <c r="S94" s="246"/>
      <c r="U94" s="244"/>
      <c r="V94" s="245"/>
      <c r="W94" s="245"/>
      <c r="X94" s="245"/>
      <c r="Y94" s="246"/>
      <c r="AA94" s="77"/>
      <c r="AB94" s="44">
        <v>7</v>
      </c>
      <c r="AC94" s="44" t="s">
        <v>7</v>
      </c>
      <c r="AD94" s="45">
        <v>100000</v>
      </c>
      <c r="AE94" s="45">
        <f t="shared" si="0"/>
        <v>50000</v>
      </c>
      <c r="AF94" s="101"/>
      <c r="AG94" s="228">
        <v>7</v>
      </c>
      <c r="AH94" s="228"/>
      <c r="AI94" s="45"/>
      <c r="AJ94" s="45"/>
    </row>
    <row r="95" spans="14:40" ht="15.75" customHeight="1">
      <c r="N95" s="247"/>
      <c r="O95" s="248"/>
      <c r="P95" s="248"/>
      <c r="Q95" s="248"/>
      <c r="R95" s="248"/>
      <c r="S95" s="249"/>
      <c r="U95" s="247"/>
      <c r="V95" s="248"/>
      <c r="W95" s="248"/>
      <c r="X95" s="248"/>
      <c r="Y95" s="249"/>
      <c r="AA95" s="77"/>
      <c r="AB95" s="46"/>
      <c r="AC95" s="47" t="s">
        <v>10</v>
      </c>
      <c r="AD95" s="48">
        <f>SUM(AD88:AD94)</f>
        <v>4200000</v>
      </c>
      <c r="AE95" s="48">
        <f>SUM(AE88:AE94)</f>
        <v>2100000</v>
      </c>
      <c r="AF95" s="102"/>
      <c r="AG95" s="46"/>
      <c r="AH95" s="47" t="s">
        <v>10</v>
      </c>
      <c r="AI95" s="48">
        <f>SUM(AI88:AI94)</f>
        <v>4500000</v>
      </c>
      <c r="AJ95" s="48">
        <f>SUM(AJ88:AJ94)</f>
        <v>2250000</v>
      </c>
    </row>
    <row r="96" spans="14:40" ht="15.75" customHeight="1">
      <c r="AA96" s="77"/>
      <c r="AM96" s="240" t="s">
        <v>252</v>
      </c>
      <c r="AN96" s="240"/>
    </row>
    <row r="97" spans="14:40" ht="15.75" customHeight="1">
      <c r="N97" s="252" t="s">
        <v>29</v>
      </c>
      <c r="O97" s="252"/>
      <c r="P97" s="252"/>
      <c r="Q97" s="252"/>
      <c r="R97" s="252"/>
      <c r="S97" s="252"/>
      <c r="U97" s="259" t="s">
        <v>27</v>
      </c>
      <c r="V97" s="260"/>
      <c r="W97" s="260"/>
      <c r="X97" s="260"/>
      <c r="Y97" s="261"/>
      <c r="AA97" s="77"/>
      <c r="AB97" s="250" t="s">
        <v>12</v>
      </c>
      <c r="AC97" s="250"/>
      <c r="AD97" s="250"/>
      <c r="AE97" s="250"/>
      <c r="AF97" s="100"/>
      <c r="AI97" s="41" t="s">
        <v>244</v>
      </c>
      <c r="AJ97" s="41" t="s">
        <v>243</v>
      </c>
      <c r="AK97" s="41" t="s">
        <v>245</v>
      </c>
      <c r="AL97" s="41" t="s">
        <v>242</v>
      </c>
      <c r="AM97" s="41" t="s">
        <v>245</v>
      </c>
      <c r="AN97" s="41" t="s">
        <v>242</v>
      </c>
    </row>
    <row r="98" spans="14:40" ht="15.75" customHeight="1">
      <c r="N98" s="252"/>
      <c r="O98" s="252"/>
      <c r="P98" s="252"/>
      <c r="Q98" s="252"/>
      <c r="R98" s="252"/>
      <c r="S98" s="252"/>
      <c r="U98" s="262"/>
      <c r="V98" s="263"/>
      <c r="W98" s="263"/>
      <c r="X98" s="263"/>
      <c r="Y98" s="264"/>
      <c r="AA98" s="77"/>
      <c r="AB98" s="44" t="s">
        <v>0</v>
      </c>
      <c r="AC98" s="44" t="s">
        <v>13</v>
      </c>
      <c r="AD98" s="44" t="s">
        <v>9</v>
      </c>
      <c r="AE98" s="44" t="s">
        <v>8</v>
      </c>
      <c r="AF98" s="100"/>
      <c r="AH98" s="41" t="s">
        <v>229</v>
      </c>
      <c r="AI98" s="41" t="s">
        <v>227</v>
      </c>
      <c r="AJ98" s="41">
        <v>77000</v>
      </c>
      <c r="AK98" s="41">
        <v>77000</v>
      </c>
      <c r="AL98" s="41">
        <f>AK98*2</f>
        <v>154000</v>
      </c>
      <c r="AM98" s="41">
        <v>80000</v>
      </c>
      <c r="AN98" s="41">
        <f>AM98*2</f>
        <v>160000</v>
      </c>
    </row>
    <row r="99" spans="14:40" ht="15.75" customHeight="1">
      <c r="N99" s="241">
        <v>6000000</v>
      </c>
      <c r="O99" s="242"/>
      <c r="P99" s="242"/>
      <c r="Q99" s="242"/>
      <c r="R99" s="242"/>
      <c r="S99" s="243"/>
      <c r="U99" s="241">
        <v>6000000</v>
      </c>
      <c r="V99" s="242"/>
      <c r="W99" s="242"/>
      <c r="X99" s="242"/>
      <c r="Y99" s="243"/>
      <c r="AA99" s="77"/>
      <c r="AB99" s="44">
        <v>1</v>
      </c>
      <c r="AC99" s="44" t="s">
        <v>14</v>
      </c>
      <c r="AD99" s="44" t="s">
        <v>4</v>
      </c>
      <c r="AE99" s="45">
        <v>1000000</v>
      </c>
      <c r="AF99" s="101"/>
      <c r="AH99" s="41" t="s">
        <v>228</v>
      </c>
      <c r="AI99" s="41" t="s">
        <v>234</v>
      </c>
      <c r="AJ99" s="41">
        <v>20000</v>
      </c>
      <c r="AK99" s="41">
        <v>10000</v>
      </c>
      <c r="AL99" s="41">
        <v>20000</v>
      </c>
      <c r="AM99" s="41">
        <f>AK99</f>
        <v>10000</v>
      </c>
      <c r="AN99" s="41">
        <f t="shared" ref="AN99:AN104" si="2">AM99*2</f>
        <v>20000</v>
      </c>
    </row>
    <row r="100" spans="14:40" ht="15.75" customHeight="1">
      <c r="N100" s="244"/>
      <c r="O100" s="245"/>
      <c r="P100" s="245"/>
      <c r="Q100" s="245"/>
      <c r="R100" s="245"/>
      <c r="S100" s="246"/>
      <c r="U100" s="244"/>
      <c r="V100" s="245"/>
      <c r="W100" s="245"/>
      <c r="X100" s="245"/>
      <c r="Y100" s="246"/>
      <c r="AA100" s="77"/>
      <c r="AB100" s="44">
        <v>2</v>
      </c>
      <c r="AC100" s="50" t="s">
        <v>257</v>
      </c>
      <c r="AD100" s="44" t="s">
        <v>4</v>
      </c>
      <c r="AE100" s="45">
        <v>650000</v>
      </c>
      <c r="AF100" s="101"/>
      <c r="AH100" s="41" t="s">
        <v>230</v>
      </c>
      <c r="AI100" s="41" t="s">
        <v>227</v>
      </c>
      <c r="AJ100" s="41">
        <v>55000</v>
      </c>
      <c r="AK100" s="41">
        <v>55000</v>
      </c>
      <c r="AL100" s="41">
        <v>110000</v>
      </c>
      <c r="AM100" s="41">
        <v>60000</v>
      </c>
      <c r="AN100" s="41">
        <f t="shared" si="2"/>
        <v>120000</v>
      </c>
    </row>
    <row r="101" spans="14:40" ht="15.75" customHeight="1">
      <c r="N101" s="244"/>
      <c r="O101" s="245"/>
      <c r="P101" s="245"/>
      <c r="Q101" s="245"/>
      <c r="R101" s="245"/>
      <c r="S101" s="246"/>
      <c r="U101" s="244"/>
      <c r="V101" s="245"/>
      <c r="W101" s="245"/>
      <c r="X101" s="245"/>
      <c r="Y101" s="246"/>
      <c r="AA101" s="77"/>
      <c r="AB101" s="44"/>
      <c r="AC101" s="50"/>
      <c r="AD101" s="44"/>
      <c r="AE101" s="45"/>
      <c r="AF101" s="101"/>
      <c r="AH101" s="41" t="s">
        <v>232</v>
      </c>
      <c r="AI101" s="41" t="s">
        <v>233</v>
      </c>
      <c r="AJ101" s="41">
        <v>38900</v>
      </c>
      <c r="AK101" s="41">
        <f>AJ101/2</f>
        <v>19450</v>
      </c>
      <c r="AL101" s="41">
        <v>38900</v>
      </c>
      <c r="AM101" s="41">
        <v>20000</v>
      </c>
      <c r="AN101" s="41">
        <f t="shared" si="2"/>
        <v>40000</v>
      </c>
    </row>
    <row r="102" spans="14:40" ht="15.75" customHeight="1">
      <c r="N102" s="244"/>
      <c r="O102" s="245"/>
      <c r="P102" s="245"/>
      <c r="Q102" s="245"/>
      <c r="R102" s="245"/>
      <c r="S102" s="246"/>
      <c r="U102" s="244"/>
      <c r="V102" s="245"/>
      <c r="W102" s="245"/>
      <c r="X102" s="245"/>
      <c r="Y102" s="246"/>
      <c r="AA102" s="77"/>
      <c r="AB102" s="51"/>
      <c r="AC102" s="51"/>
      <c r="AD102" s="52"/>
      <c r="AE102" s="52"/>
      <c r="AF102" s="103"/>
      <c r="AH102" s="41" t="s">
        <v>235</v>
      </c>
      <c r="AI102" s="41" t="s">
        <v>236</v>
      </c>
      <c r="AJ102" s="41">
        <v>100000</v>
      </c>
      <c r="AK102" s="41">
        <f>AJ102*2</f>
        <v>200000</v>
      </c>
      <c r="AL102" s="41">
        <f>AJ102*4</f>
        <v>400000</v>
      </c>
      <c r="AM102" s="41">
        <f>AK102</f>
        <v>200000</v>
      </c>
      <c r="AN102" s="41">
        <f t="shared" si="2"/>
        <v>400000</v>
      </c>
    </row>
    <row r="103" spans="14:40" ht="15.75" customHeight="1">
      <c r="N103" s="244"/>
      <c r="O103" s="245"/>
      <c r="P103" s="245"/>
      <c r="Q103" s="245"/>
      <c r="R103" s="245"/>
      <c r="S103" s="246"/>
      <c r="U103" s="244"/>
      <c r="V103" s="245"/>
      <c r="W103" s="245"/>
      <c r="X103" s="245"/>
      <c r="Y103" s="246"/>
      <c r="AA103" s="77"/>
      <c r="AB103" s="51"/>
      <c r="AC103" s="51"/>
      <c r="AD103" s="52"/>
      <c r="AE103" s="52"/>
      <c r="AF103" s="103"/>
      <c r="AH103" s="41" t="s">
        <v>238</v>
      </c>
      <c r="AI103" s="41" t="s">
        <v>237</v>
      </c>
      <c r="AJ103" s="41">
        <v>10000</v>
      </c>
      <c r="AK103" s="41">
        <f>AL103/2</f>
        <v>40000</v>
      </c>
      <c r="AL103" s="41">
        <f>AJ103*8</f>
        <v>80000</v>
      </c>
      <c r="AM103" s="41">
        <f>AK103</f>
        <v>40000</v>
      </c>
      <c r="AN103" s="41">
        <f t="shared" si="2"/>
        <v>80000</v>
      </c>
    </row>
    <row r="104" spans="14:40" ht="15.75" customHeight="1">
      <c r="N104" s="244"/>
      <c r="O104" s="245"/>
      <c r="P104" s="245"/>
      <c r="Q104" s="245"/>
      <c r="R104" s="245"/>
      <c r="S104" s="246"/>
      <c r="U104" s="244"/>
      <c r="V104" s="245"/>
      <c r="W104" s="245"/>
      <c r="X104" s="245"/>
      <c r="Y104" s="246"/>
      <c r="AA104" s="77"/>
      <c r="AB104" s="51"/>
      <c r="AC104" s="51"/>
      <c r="AD104" s="52"/>
      <c r="AE104" s="52"/>
      <c r="AF104" s="103"/>
      <c r="AH104" s="41" t="s">
        <v>239</v>
      </c>
      <c r="AI104" s="41" t="s">
        <v>227</v>
      </c>
      <c r="AJ104" s="41">
        <v>200000</v>
      </c>
      <c r="AK104" s="41">
        <f>AJ104</f>
        <v>200000</v>
      </c>
      <c r="AL104" s="41">
        <f>AJ104*2</f>
        <v>400000</v>
      </c>
      <c r="AM104" s="41">
        <f>AK104</f>
        <v>200000</v>
      </c>
      <c r="AN104" s="41">
        <f t="shared" si="2"/>
        <v>400000</v>
      </c>
    </row>
    <row r="105" spans="14:40" ht="15.75" customHeight="1">
      <c r="N105" s="244"/>
      <c r="O105" s="245"/>
      <c r="P105" s="245"/>
      <c r="Q105" s="245"/>
      <c r="R105" s="245"/>
      <c r="S105" s="246"/>
      <c r="U105" s="244"/>
      <c r="V105" s="245"/>
      <c r="W105" s="245"/>
      <c r="X105" s="245"/>
      <c r="Y105" s="246"/>
      <c r="AA105" s="77"/>
      <c r="AB105" s="53"/>
      <c r="AC105" s="53"/>
      <c r="AD105" s="53" t="s">
        <v>10</v>
      </c>
      <c r="AE105" s="54">
        <f>SUM(AE99:AE101)</f>
        <v>1650000</v>
      </c>
      <c r="AF105" s="104"/>
      <c r="AI105" s="41" t="s">
        <v>10</v>
      </c>
      <c r="AJ105" s="41">
        <f>SUM(AJ98:AJ104)</f>
        <v>500900</v>
      </c>
      <c r="AK105" s="41">
        <f t="shared" ref="AK105:AL105" si="3">SUM(AK98:AK104)</f>
        <v>601450</v>
      </c>
      <c r="AL105" s="41">
        <f t="shared" si="3"/>
        <v>1202900</v>
      </c>
      <c r="AM105" s="41">
        <f t="shared" ref="AM105" si="4">SUM(AM98:AM104)</f>
        <v>610000</v>
      </c>
      <c r="AN105" s="41">
        <f t="shared" ref="AN105" si="5">SUM(AN98:AN104)</f>
        <v>1220000</v>
      </c>
    </row>
    <row r="106" spans="14:40" ht="15.75" customHeight="1">
      <c r="N106" s="244"/>
      <c r="O106" s="245"/>
      <c r="P106" s="245"/>
      <c r="Q106" s="245"/>
      <c r="R106" s="245"/>
      <c r="S106" s="246"/>
      <c r="U106" s="244"/>
      <c r="V106" s="245"/>
      <c r="W106" s="245"/>
      <c r="X106" s="245"/>
      <c r="Y106" s="246"/>
      <c r="AA106" s="77"/>
      <c r="AB106" s="229"/>
      <c r="AC106" s="229"/>
      <c r="AD106" s="229"/>
      <c r="AE106" s="104"/>
      <c r="AF106" s="104"/>
    </row>
    <row r="107" spans="14:40" ht="15.75" customHeight="1">
      <c r="N107" s="247"/>
      <c r="O107" s="248"/>
      <c r="P107" s="248"/>
      <c r="Q107" s="248"/>
      <c r="R107" s="248"/>
      <c r="S107" s="249"/>
      <c r="U107" s="247"/>
      <c r="V107" s="248"/>
      <c r="W107" s="248"/>
      <c r="X107" s="248"/>
      <c r="Y107" s="249"/>
      <c r="AA107" s="77"/>
      <c r="AJ107" s="41" t="s">
        <v>253</v>
      </c>
      <c r="AK107" s="41" t="s">
        <v>256</v>
      </c>
      <c r="AL107" s="41" t="s">
        <v>252</v>
      </c>
    </row>
    <row r="108" spans="14:40" ht="15.75" customHeight="1">
      <c r="AA108" s="77"/>
      <c r="AH108" s="41" t="s">
        <v>241</v>
      </c>
      <c r="AI108" s="41">
        <v>150000</v>
      </c>
      <c r="AJ108" s="41" t="s">
        <v>254</v>
      </c>
      <c r="AK108" s="41">
        <f>AI108/12</f>
        <v>12500</v>
      </c>
      <c r="AL108" s="41">
        <v>15000</v>
      </c>
    </row>
    <row r="109" spans="14:40" ht="15.75" customHeight="1">
      <c r="AA109" s="77"/>
      <c r="AB109" s="251" t="s">
        <v>31</v>
      </c>
      <c r="AC109" s="251"/>
      <c r="AD109" s="251"/>
      <c r="AH109" s="41" t="s">
        <v>240</v>
      </c>
      <c r="AI109" s="41">
        <v>60000</v>
      </c>
      <c r="AJ109" s="41" t="s">
        <v>255</v>
      </c>
      <c r="AK109" s="41">
        <f>AI109/3</f>
        <v>20000</v>
      </c>
      <c r="AL109" s="41">
        <v>20000</v>
      </c>
    </row>
    <row r="110" spans="14:40" ht="15.75" customHeight="1">
      <c r="AA110" s="77"/>
      <c r="AB110" s="44" t="s">
        <v>0</v>
      </c>
      <c r="AC110" s="44" t="s">
        <v>9</v>
      </c>
      <c r="AD110" s="44" t="s">
        <v>8</v>
      </c>
    </row>
    <row r="111" spans="14:40" ht="15.75" customHeight="1">
      <c r="AA111" s="77"/>
      <c r="AB111" s="44">
        <v>1</v>
      </c>
      <c r="AC111" s="44" t="s">
        <v>1</v>
      </c>
      <c r="AD111" s="45">
        <f>850000-H63-J63</f>
        <v>719100</v>
      </c>
      <c r="AJ111" s="41" t="s">
        <v>247</v>
      </c>
      <c r="AK111" s="41" t="s">
        <v>10</v>
      </c>
    </row>
    <row r="112" spans="14:40" ht="15.75" customHeight="1">
      <c r="AA112" s="77"/>
      <c r="AB112" s="44">
        <v>2</v>
      </c>
      <c r="AC112" s="44" t="s">
        <v>2</v>
      </c>
      <c r="AD112" s="45">
        <v>800000</v>
      </c>
      <c r="AH112" s="41" t="s">
        <v>246</v>
      </c>
      <c r="AI112" s="41">
        <v>75900</v>
      </c>
      <c r="AJ112" s="41" t="s">
        <v>248</v>
      </c>
      <c r="AK112" s="41">
        <f>AI112*6</f>
        <v>455400</v>
      </c>
    </row>
    <row r="113" spans="10:34" ht="15.75" customHeight="1">
      <c r="AA113" s="77"/>
      <c r="AB113" s="44">
        <v>3</v>
      </c>
      <c r="AC113" s="44" t="s">
        <v>3</v>
      </c>
      <c r="AD113" s="45">
        <v>850000</v>
      </c>
    </row>
    <row r="114" spans="10:34" ht="15.75" customHeight="1">
      <c r="AA114" s="77"/>
      <c r="AB114" s="44">
        <v>4</v>
      </c>
      <c r="AC114" s="44" t="s">
        <v>4</v>
      </c>
      <c r="AD114" s="45">
        <v>1000000</v>
      </c>
      <c r="AH114" s="41" t="s">
        <v>249</v>
      </c>
    </row>
    <row r="115" spans="10:34" ht="15.75" customHeight="1">
      <c r="AA115" s="77"/>
      <c r="AB115" s="44">
        <v>5</v>
      </c>
      <c r="AC115" s="44" t="s">
        <v>5</v>
      </c>
      <c r="AD115" s="45">
        <v>500000</v>
      </c>
    </row>
    <row r="116" spans="10:34" ht="15.75" customHeight="1">
      <c r="AA116" s="77"/>
      <c r="AB116" s="44">
        <v>6</v>
      </c>
      <c r="AC116" s="44" t="s">
        <v>6</v>
      </c>
      <c r="AD116" s="45">
        <v>100000</v>
      </c>
    </row>
    <row r="117" spans="10:34" ht="15.75" customHeight="1">
      <c r="AA117" s="77"/>
      <c r="AB117" s="44">
        <v>7</v>
      </c>
      <c r="AC117" s="44" t="s">
        <v>7</v>
      </c>
      <c r="AD117" s="45">
        <v>100000</v>
      </c>
    </row>
    <row r="118" spans="10:34" ht="15.75" customHeight="1">
      <c r="AA118" s="77"/>
      <c r="AB118" s="49">
        <v>8</v>
      </c>
      <c r="AC118" s="49" t="s">
        <v>32</v>
      </c>
      <c r="AD118" s="45"/>
    </row>
    <row r="119" spans="10:34" ht="15.75" customHeight="1">
      <c r="AA119" s="77"/>
      <c r="AB119" s="49">
        <v>9</v>
      </c>
      <c r="AC119" s="49" t="s">
        <v>33</v>
      </c>
      <c r="AD119" s="45"/>
    </row>
    <row r="120" spans="10:34" ht="15.75" customHeight="1">
      <c r="AA120" s="77"/>
      <c r="AB120" s="49">
        <v>10</v>
      </c>
      <c r="AC120" s="49" t="s">
        <v>34</v>
      </c>
      <c r="AD120" s="45"/>
    </row>
    <row r="121" spans="10:34" ht="15.75" customHeight="1">
      <c r="AA121" s="77"/>
      <c r="AB121" s="49">
        <v>11</v>
      </c>
      <c r="AC121" s="49" t="s">
        <v>35</v>
      </c>
      <c r="AD121" s="45"/>
    </row>
    <row r="122" spans="10:34" ht="15.75" customHeight="1">
      <c r="AA122" s="77"/>
      <c r="AB122" s="49">
        <v>12</v>
      </c>
      <c r="AC122" s="49" t="s">
        <v>12</v>
      </c>
      <c r="AD122" s="45">
        <f>AE105</f>
        <v>1650000</v>
      </c>
    </row>
    <row r="123" spans="10:34" ht="15.75" customHeight="1">
      <c r="AA123" s="77"/>
      <c r="AB123" s="46"/>
      <c r="AC123" s="47" t="s">
        <v>10</v>
      </c>
      <c r="AD123" s="48">
        <f>SUM(AD111:AD122)</f>
        <v>5719100</v>
      </c>
    </row>
    <row r="124" spans="10:34" ht="15.75" customHeight="1">
      <c r="AA124" s="77"/>
    </row>
    <row r="126" spans="10:34" ht="15.75" customHeight="1">
      <c r="J126" s="55"/>
      <c r="K126" s="55"/>
      <c r="L126" s="55"/>
    </row>
  </sheetData>
  <mergeCells count="32">
    <mergeCell ref="B4:C5"/>
    <mergeCell ref="L7:M7"/>
    <mergeCell ref="O7:P7"/>
    <mergeCell ref="F9:G9"/>
    <mergeCell ref="I9:J9"/>
    <mergeCell ref="L9:M9"/>
    <mergeCell ref="J6:M6"/>
    <mergeCell ref="N6:Q6"/>
    <mergeCell ref="AB109:AD109"/>
    <mergeCell ref="H61:S61"/>
    <mergeCell ref="N86:S87"/>
    <mergeCell ref="N88:S95"/>
    <mergeCell ref="I7:J7"/>
    <mergeCell ref="N97:S98"/>
    <mergeCell ref="O9:P9"/>
    <mergeCell ref="I13:J13"/>
    <mergeCell ref="L13:M13"/>
    <mergeCell ref="O13:P13"/>
    <mergeCell ref="AB86:AE86"/>
    <mergeCell ref="U99:Y107"/>
    <mergeCell ref="U97:Y98"/>
    <mergeCell ref="U86:Y87"/>
    <mergeCell ref="U88:Y95"/>
    <mergeCell ref="AG86:AJ86"/>
    <mergeCell ref="AM96:AN96"/>
    <mergeCell ref="E2:P2"/>
    <mergeCell ref="N99:S107"/>
    <mergeCell ref="AB97:AE97"/>
    <mergeCell ref="F13:G13"/>
    <mergeCell ref="R6:T6"/>
    <mergeCell ref="U6:W6"/>
    <mergeCell ref="X6:Y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5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showInputMessage="1" showErrorMessage="1" xr:uid="{00000000-0002-0000-0500-000000000000}">
          <x14:formula1>
            <xm:f>PENGATURAN!$B$5:$B$16</xm:f>
          </x14:formula1>
          <xm:sqref>I7:J7</xm:sqref>
        </x14:dataValidation>
        <x14:dataValidation type="list" showInputMessage="1" showErrorMessage="1" xr:uid="{00000000-0002-0000-0500-000001000000}">
          <x14:formula1>
            <xm:f>PENGATURAN!$D$5:$D$16</xm:f>
          </x14:formula1>
          <xm:sqref>O7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outlinePr summaryBelow="0" summaryRight="0"/>
  </sheetPr>
  <dimension ref="A1:AA125"/>
  <sheetViews>
    <sheetView zoomScale="40" zoomScaleNormal="40" workbookViewId="0">
      <selection activeCell="K22" sqref="K2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5.54296875" style="41" customWidth="1"/>
    <col min="8" max="8" width="4.1796875" style="41" customWidth="1"/>
    <col min="9" max="9" width="8.1796875" style="41" customWidth="1"/>
    <col min="10" max="10" width="4.1796875" style="41" customWidth="1"/>
    <col min="11" max="12" width="35.54296875" style="41" customWidth="1"/>
    <col min="13" max="13" width="4.1796875" style="41" customWidth="1"/>
    <col min="14" max="14" width="2.81640625" style="41" customWidth="1"/>
    <col min="15" max="15" width="6.453125" style="41" customWidth="1"/>
    <col min="16" max="16" width="30.81640625" style="41" customWidth="1"/>
    <col min="17" max="17" width="3.54296875" style="41" customWidth="1"/>
    <col min="18" max="18" width="12.54296875" style="41"/>
    <col min="19" max="19" width="23" style="41" customWidth="1"/>
    <col min="20" max="20" width="5.7265625" style="41" customWidth="1"/>
    <col min="21" max="21" width="12.54296875" style="41"/>
    <col min="22" max="22" width="21.1796875" style="41" customWidth="1"/>
    <col min="23" max="23" width="6.26953125" style="41" customWidth="1"/>
    <col min="24" max="24" width="12.54296875" style="41"/>
    <col min="25" max="25" width="24.26953125" style="41" customWidth="1"/>
    <col min="26" max="16384" width="12.54296875" style="41"/>
  </cols>
  <sheetData>
    <row r="1" spans="1:27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5"/>
      <c r="R1" s="84"/>
      <c r="S1" s="84"/>
      <c r="T1" s="84"/>
      <c r="U1" s="84"/>
      <c r="V1" s="84"/>
      <c r="W1" s="84"/>
      <c r="X1" s="84"/>
      <c r="Y1" s="84"/>
      <c r="Z1" s="84"/>
      <c r="AA1" s="79"/>
    </row>
    <row r="2" spans="1:27" ht="19.5" customHeight="1">
      <c r="A2" s="96"/>
      <c r="B2" s="96"/>
      <c r="C2" s="96" t="s">
        <v>71</v>
      </c>
      <c r="D2" s="78"/>
      <c r="E2" s="230" t="s">
        <v>83</v>
      </c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87"/>
      <c r="R2" s="84"/>
      <c r="S2" s="84"/>
      <c r="T2" s="84"/>
      <c r="U2" s="84"/>
      <c r="V2" s="84"/>
      <c r="W2" s="84"/>
      <c r="X2" s="84"/>
      <c r="Y2" s="84"/>
      <c r="Z2" s="84"/>
      <c r="AA2" s="79"/>
    </row>
    <row r="3" spans="1:27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87"/>
      <c r="R3" s="84"/>
      <c r="S3" s="84"/>
      <c r="T3" s="84"/>
      <c r="U3" s="84"/>
      <c r="V3" s="84"/>
      <c r="W3" s="84"/>
      <c r="X3" s="84"/>
      <c r="Y3" s="84"/>
      <c r="Z3" s="84"/>
      <c r="AA3" s="79"/>
    </row>
    <row r="4" spans="1:27" ht="16" customHeight="1">
      <c r="A4" s="62"/>
      <c r="B4" s="231" t="s">
        <v>72</v>
      </c>
      <c r="C4" s="231"/>
      <c r="D4" s="78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87"/>
      <c r="R4" s="84"/>
      <c r="S4" s="84"/>
      <c r="T4" s="84"/>
      <c r="U4" s="84"/>
      <c r="V4" s="84"/>
      <c r="W4" s="84"/>
      <c r="X4" s="84"/>
      <c r="Y4" s="84"/>
      <c r="Z4" s="84"/>
      <c r="AA4" s="79"/>
    </row>
    <row r="5" spans="1:27" ht="15.75" customHeight="1">
      <c r="A5" s="62"/>
      <c r="B5" s="231"/>
      <c r="C5" s="231"/>
      <c r="D5" s="78"/>
      <c r="E5" s="78"/>
      <c r="F5" s="78"/>
      <c r="G5" s="78"/>
      <c r="H5" s="84"/>
      <c r="I5" s="84"/>
      <c r="J5" s="78"/>
      <c r="K5" s="78"/>
      <c r="L5" s="78"/>
      <c r="M5" s="78"/>
      <c r="N5" s="78"/>
      <c r="O5" s="78"/>
      <c r="P5" s="78"/>
      <c r="Q5" s="112"/>
      <c r="R5" s="78"/>
      <c r="S5" s="78"/>
      <c r="T5" s="78"/>
      <c r="U5" s="78"/>
      <c r="V5" s="78"/>
      <c r="W5" s="78"/>
      <c r="X5" s="78"/>
      <c r="Y5" s="78"/>
      <c r="Z5" s="78"/>
      <c r="AA5" s="79"/>
    </row>
    <row r="6" spans="1:27" ht="25" customHeight="1">
      <c r="A6" s="62"/>
      <c r="B6" s="97"/>
      <c r="C6" s="99" t="s">
        <v>37</v>
      </c>
      <c r="D6" s="79"/>
      <c r="E6" s="120"/>
      <c r="F6" s="121"/>
      <c r="G6" s="124"/>
      <c r="H6" s="125"/>
      <c r="I6" s="81"/>
      <c r="J6" s="120"/>
      <c r="K6" s="159"/>
      <c r="L6" s="124"/>
      <c r="M6" s="125"/>
      <c r="N6" s="194"/>
    </row>
    <row r="7" spans="1:27" ht="19" customHeight="1">
      <c r="A7" s="62"/>
      <c r="B7" s="62"/>
      <c r="C7" s="98" t="s">
        <v>38</v>
      </c>
      <c r="D7" s="80"/>
      <c r="E7" s="119"/>
      <c r="F7" s="273" t="s">
        <v>41</v>
      </c>
      <c r="G7" s="273"/>
      <c r="H7" s="126"/>
      <c r="I7" s="154"/>
      <c r="J7" s="119"/>
      <c r="K7" s="273" t="s">
        <v>96</v>
      </c>
      <c r="L7" s="273"/>
      <c r="M7" s="126"/>
      <c r="N7" s="80"/>
    </row>
    <row r="8" spans="1:27" ht="20.149999999999999" customHeight="1">
      <c r="A8" s="62"/>
      <c r="B8" s="62"/>
      <c r="C8" s="98" t="s">
        <v>39</v>
      </c>
      <c r="D8" s="80"/>
      <c r="E8" s="127"/>
      <c r="F8" s="123" t="s">
        <v>84</v>
      </c>
      <c r="G8" s="137" t="str">
        <f ca="1">PENGATURAN!B39</f>
        <v>18 November 2024</v>
      </c>
      <c r="H8" s="128"/>
      <c r="I8" s="84"/>
      <c r="J8" s="127"/>
      <c r="K8" s="123" t="s">
        <v>84</v>
      </c>
      <c r="L8" s="137" t="str">
        <f ca="1">PENGATURAN!B39</f>
        <v>18 November 2024</v>
      </c>
      <c r="M8" s="128"/>
      <c r="N8" s="192"/>
      <c r="O8" s="254" t="s">
        <v>114</v>
      </c>
      <c r="P8" s="256"/>
      <c r="Q8" s="113"/>
      <c r="R8" s="257" t="s">
        <v>2</v>
      </c>
      <c r="S8" s="258"/>
      <c r="T8" s="86"/>
      <c r="U8" s="271" t="s">
        <v>3</v>
      </c>
      <c r="V8" s="272"/>
      <c r="W8" s="86"/>
      <c r="X8" s="192"/>
      <c r="Y8" s="192"/>
    </row>
    <row r="9" spans="1:27" ht="20.149999999999999" customHeight="1">
      <c r="A9" s="62"/>
      <c r="B9" s="62"/>
      <c r="C9" s="98" t="s">
        <v>40</v>
      </c>
      <c r="D9" s="80"/>
      <c r="E9" s="127"/>
      <c r="F9" s="123" t="s">
        <v>85</v>
      </c>
      <c r="G9" s="139"/>
      <c r="H9" s="128"/>
      <c r="I9" s="171"/>
      <c r="J9" s="127"/>
      <c r="K9" s="123" t="s">
        <v>85</v>
      </c>
      <c r="L9" s="139"/>
      <c r="M9" s="128"/>
      <c r="N9" s="84"/>
      <c r="O9" s="89" t="s">
        <v>68</v>
      </c>
      <c r="P9" s="214">
        <f>PENGATURAN!C21</f>
        <v>1000000</v>
      </c>
      <c r="Q9" s="86"/>
      <c r="R9" s="92" t="s">
        <v>68</v>
      </c>
      <c r="S9" s="215">
        <f>PENGATURAN!C22</f>
        <v>1000000</v>
      </c>
      <c r="T9" s="86"/>
      <c r="U9" s="202" t="s">
        <v>68</v>
      </c>
      <c r="V9" s="216">
        <f>PENGATURAN!C23</f>
        <v>1000000</v>
      </c>
      <c r="W9" s="86"/>
      <c r="X9" s="192"/>
      <c r="Y9" s="192"/>
      <c r="Z9" s="192"/>
      <c r="AA9" s="79"/>
    </row>
    <row r="10" spans="1:27" ht="20.149999999999999" customHeight="1">
      <c r="A10" s="62"/>
      <c r="B10" s="62"/>
      <c r="C10" s="99" t="s">
        <v>41</v>
      </c>
      <c r="D10" s="79"/>
      <c r="E10" s="119"/>
      <c r="F10" s="123" t="s">
        <v>86</v>
      </c>
      <c r="G10" s="138"/>
      <c r="H10" s="128"/>
      <c r="I10" s="116"/>
      <c r="J10" s="119"/>
      <c r="K10" s="123" t="s">
        <v>86</v>
      </c>
      <c r="L10" s="138"/>
      <c r="M10" s="128"/>
      <c r="N10" s="84"/>
      <c r="O10" s="90">
        <v>0.5</v>
      </c>
      <c r="P10" s="111" t="s">
        <v>70</v>
      </c>
      <c r="Q10" s="86"/>
      <c r="R10" s="94">
        <v>0.5</v>
      </c>
      <c r="S10" s="110" t="s">
        <v>70</v>
      </c>
      <c r="T10" s="86"/>
      <c r="U10" s="203">
        <v>0.5</v>
      </c>
      <c r="V10" s="204" t="s">
        <v>70</v>
      </c>
      <c r="W10" s="86"/>
      <c r="X10" s="192"/>
      <c r="Y10" s="192"/>
      <c r="Z10" s="79"/>
      <c r="AA10" s="79"/>
    </row>
    <row r="11" spans="1:27" ht="25" customHeight="1">
      <c r="A11" s="62"/>
      <c r="B11" s="62"/>
      <c r="C11" s="99" t="s">
        <v>42</v>
      </c>
      <c r="D11" s="79"/>
      <c r="E11" s="119"/>
      <c r="F11" s="123" t="s">
        <v>94</v>
      </c>
      <c r="G11" s="139"/>
      <c r="H11" s="128"/>
      <c r="I11" s="117"/>
      <c r="J11" s="119"/>
      <c r="K11" s="123" t="s">
        <v>94</v>
      </c>
      <c r="L11" s="139"/>
      <c r="M11" s="128"/>
      <c r="N11" s="84"/>
      <c r="X11" s="79"/>
      <c r="Y11" s="79"/>
      <c r="Z11" s="79"/>
      <c r="AA11" s="79"/>
    </row>
    <row r="12" spans="1:27" ht="26.15" customHeight="1">
      <c r="A12" s="62"/>
      <c r="B12" s="62"/>
      <c r="C12" s="99" t="s">
        <v>73</v>
      </c>
      <c r="D12" s="79"/>
      <c r="E12" s="119"/>
      <c r="F12" s="123" t="s">
        <v>95</v>
      </c>
      <c r="G12" s="139"/>
      <c r="H12" s="129"/>
      <c r="I12" s="84"/>
      <c r="J12" s="119"/>
      <c r="K12" s="123" t="s">
        <v>88</v>
      </c>
      <c r="L12" s="139"/>
      <c r="M12" s="129"/>
      <c r="N12" s="84"/>
      <c r="O12" s="274" t="s">
        <v>4</v>
      </c>
      <c r="P12" s="275"/>
      <c r="Q12" s="113"/>
      <c r="R12" s="276" t="s">
        <v>5</v>
      </c>
      <c r="S12" s="277"/>
      <c r="T12" s="86"/>
      <c r="U12" s="278" t="s">
        <v>6</v>
      </c>
      <c r="V12" s="279"/>
      <c r="W12" s="86"/>
      <c r="X12" s="79"/>
      <c r="Y12" s="79"/>
      <c r="Z12" s="79"/>
      <c r="AA12" s="79"/>
    </row>
    <row r="13" spans="1:27" ht="28.5" customHeight="1">
      <c r="A13" s="62"/>
      <c r="B13" s="62"/>
      <c r="C13" s="99" t="s">
        <v>74</v>
      </c>
      <c r="D13" s="79"/>
      <c r="E13" s="119"/>
      <c r="F13" s="87"/>
      <c r="G13" s="118"/>
      <c r="H13" s="128"/>
      <c r="I13" s="84"/>
      <c r="J13" s="119"/>
      <c r="K13" s="123" t="s">
        <v>99</v>
      </c>
      <c r="L13" s="139"/>
      <c r="M13" s="128"/>
      <c r="N13" s="84"/>
      <c r="O13" s="205" t="s">
        <v>68</v>
      </c>
      <c r="P13" s="217">
        <f>PENGATURAN!C24</f>
        <v>105000</v>
      </c>
      <c r="Q13" s="86"/>
      <c r="R13" s="211" t="s">
        <v>68</v>
      </c>
      <c r="S13" s="218">
        <f>PENGATURAN!C25</f>
        <v>1000000</v>
      </c>
      <c r="T13" s="86"/>
      <c r="U13" s="208" t="s">
        <v>68</v>
      </c>
      <c r="V13" s="219">
        <f>PENGATURAN!C26</f>
        <v>1000000</v>
      </c>
      <c r="W13" s="86"/>
      <c r="X13" s="192"/>
      <c r="Y13" s="192"/>
      <c r="Z13" s="79"/>
      <c r="AA13" s="79"/>
    </row>
    <row r="14" spans="1:27" ht="15.75" customHeight="1">
      <c r="A14" s="62"/>
      <c r="B14" s="62"/>
      <c r="C14" s="62"/>
      <c r="D14" s="79"/>
      <c r="E14" s="119"/>
      <c r="F14" s="87"/>
      <c r="G14" s="87"/>
      <c r="H14" s="128"/>
      <c r="I14" s="84"/>
      <c r="J14" s="119"/>
      <c r="K14" s="157"/>
      <c r="L14" s="157"/>
      <c r="M14" s="128"/>
      <c r="N14" s="84"/>
      <c r="O14" s="206">
        <v>0.5</v>
      </c>
      <c r="P14" s="207" t="s">
        <v>70</v>
      </c>
      <c r="Q14" s="86"/>
      <c r="R14" s="212">
        <v>0.5</v>
      </c>
      <c r="S14" s="213" t="s">
        <v>70</v>
      </c>
      <c r="T14" s="86"/>
      <c r="U14" s="209">
        <v>0.5</v>
      </c>
      <c r="V14" s="210" t="s">
        <v>70</v>
      </c>
      <c r="W14" s="86"/>
      <c r="X14" s="192"/>
      <c r="Y14" s="192"/>
      <c r="Z14" s="79"/>
      <c r="AA14" s="79"/>
    </row>
    <row r="15" spans="1:27" ht="24.65" customHeight="1">
      <c r="A15" s="62"/>
      <c r="B15" s="62"/>
      <c r="C15" s="62"/>
      <c r="D15" s="79"/>
      <c r="E15" s="130"/>
      <c r="F15" s="131"/>
      <c r="G15" s="131"/>
      <c r="H15" s="132"/>
      <c r="I15" s="84"/>
      <c r="J15" s="119"/>
      <c r="K15" s="175"/>
      <c r="L15" s="175"/>
      <c r="M15" s="128"/>
      <c r="N15" s="84"/>
      <c r="O15" s="84"/>
      <c r="P15" s="84"/>
      <c r="Q15" s="79"/>
      <c r="R15" s="79"/>
      <c r="S15" s="79"/>
      <c r="T15" s="79"/>
      <c r="U15" s="79"/>
      <c r="V15" s="79"/>
      <c r="W15" s="79"/>
      <c r="X15" s="192"/>
      <c r="Y15" s="192"/>
      <c r="Z15" s="79"/>
      <c r="AA15" s="79"/>
    </row>
    <row r="16" spans="1:27" ht="15.75" customHeight="1">
      <c r="A16" s="62"/>
      <c r="B16" s="62"/>
      <c r="C16" s="62"/>
      <c r="D16" s="79" t="s">
        <v>52</v>
      </c>
      <c r="E16" s="79"/>
      <c r="F16" s="79"/>
      <c r="G16" s="79"/>
      <c r="H16" s="79"/>
      <c r="I16" s="79"/>
      <c r="J16" s="130"/>
      <c r="K16" s="131"/>
      <c r="L16" s="131"/>
      <c r="M16" s="132"/>
      <c r="N16" s="79"/>
      <c r="O16" s="254" t="s">
        <v>115</v>
      </c>
      <c r="P16" s="256"/>
      <c r="Q16" s="113"/>
      <c r="R16" s="257" t="s">
        <v>32</v>
      </c>
      <c r="S16" s="258"/>
      <c r="T16" s="86"/>
      <c r="U16" s="271" t="s">
        <v>33</v>
      </c>
      <c r="V16" s="272"/>
      <c r="W16" s="86"/>
      <c r="X16" s="79"/>
      <c r="Y16" s="79"/>
      <c r="Z16" s="79"/>
      <c r="AA16" s="79"/>
    </row>
    <row r="17" spans="1:27" ht="15.75" customHeight="1">
      <c r="A17" s="62"/>
      <c r="B17" s="62"/>
      <c r="C17" s="62"/>
      <c r="D17" s="79"/>
      <c r="E17" s="120"/>
      <c r="F17" s="121"/>
      <c r="G17" s="124"/>
      <c r="H17" s="125"/>
      <c r="I17" s="79"/>
      <c r="J17" s="79"/>
      <c r="K17" s="79"/>
      <c r="L17" s="79"/>
      <c r="M17" s="79"/>
      <c r="N17" s="79"/>
      <c r="O17" s="89" t="s">
        <v>68</v>
      </c>
      <c r="P17" s="214">
        <f>PENGATURAN!C27</f>
        <v>1000000</v>
      </c>
      <c r="Q17" s="86"/>
      <c r="R17" s="92" t="s">
        <v>68</v>
      </c>
      <c r="S17" s="195">
        <f>PENGATURAN!C28</f>
        <v>105000</v>
      </c>
      <c r="T17" s="86"/>
      <c r="U17" s="202" t="s">
        <v>68</v>
      </c>
      <c r="V17" s="216">
        <f>PENGATURAN!C29</f>
        <v>1000000</v>
      </c>
      <c r="W17" s="86"/>
      <c r="X17" s="79"/>
      <c r="Y17" s="79"/>
      <c r="Z17" s="79"/>
      <c r="AA17" s="79"/>
    </row>
    <row r="18" spans="1:27" ht="15.75" customHeight="1">
      <c r="A18" s="62"/>
      <c r="B18" s="62"/>
      <c r="C18" s="62"/>
      <c r="D18" s="79"/>
      <c r="E18" s="119"/>
      <c r="F18" s="273" t="s">
        <v>93</v>
      </c>
      <c r="G18" s="273"/>
      <c r="H18" s="126"/>
      <c r="I18" s="79"/>
      <c r="J18" s="79"/>
      <c r="K18" s="79"/>
      <c r="L18" s="79"/>
      <c r="M18" s="79"/>
      <c r="N18" s="79"/>
      <c r="O18" s="90">
        <v>0.5</v>
      </c>
      <c r="P18" s="111" t="s">
        <v>70</v>
      </c>
      <c r="Q18" s="86"/>
      <c r="R18" s="94">
        <v>0.5</v>
      </c>
      <c r="S18" s="110" t="s">
        <v>70</v>
      </c>
      <c r="T18" s="86"/>
      <c r="U18" s="203">
        <v>0.5</v>
      </c>
      <c r="V18" s="204" t="s">
        <v>70</v>
      </c>
      <c r="W18" s="86"/>
      <c r="X18" s="192"/>
      <c r="Y18" s="192"/>
      <c r="Z18" s="79"/>
      <c r="AA18" s="79"/>
    </row>
    <row r="19" spans="1:27" ht="20.149999999999999" customHeight="1">
      <c r="A19" s="62"/>
      <c r="B19" s="62"/>
      <c r="C19" s="98"/>
      <c r="D19" s="80"/>
      <c r="E19" s="127"/>
      <c r="F19" s="123" t="s">
        <v>84</v>
      </c>
      <c r="G19" s="137" t="str">
        <f ca="1">TEXT(TODAY(), "dd mmmm yyyy")</f>
        <v>19 November 2024</v>
      </c>
      <c r="H19" s="128"/>
      <c r="I19" s="152"/>
      <c r="J19" s="152"/>
      <c r="K19" s="152"/>
      <c r="L19" s="152"/>
      <c r="M19" s="152"/>
      <c r="N19" s="152"/>
      <c r="O19" s="152"/>
      <c r="P19" s="152"/>
      <c r="Q19" s="152"/>
      <c r="R19" s="152"/>
      <c r="S19" s="140"/>
      <c r="T19" s="140"/>
      <c r="U19" s="140"/>
      <c r="V19" s="140"/>
      <c r="W19" s="140"/>
      <c r="X19" s="140"/>
      <c r="Y19" s="140"/>
      <c r="Z19" s="140"/>
      <c r="AA19" s="79"/>
    </row>
    <row r="20" spans="1:27" ht="20.149999999999999" customHeight="1">
      <c r="A20" s="62"/>
      <c r="B20" s="62"/>
      <c r="C20" s="98"/>
      <c r="D20" s="80"/>
      <c r="E20" s="127"/>
      <c r="F20" s="123" t="s">
        <v>85</v>
      </c>
      <c r="G20" s="137"/>
      <c r="H20" s="128"/>
      <c r="I20" s="152"/>
      <c r="J20" s="152"/>
      <c r="K20" s="152"/>
      <c r="L20" s="152"/>
      <c r="M20" s="152"/>
      <c r="N20" s="152"/>
      <c r="O20" s="274" t="s">
        <v>35</v>
      </c>
      <c r="P20" s="275"/>
      <c r="Q20" s="113"/>
      <c r="R20" s="276" t="s">
        <v>12</v>
      </c>
      <c r="S20" s="277"/>
      <c r="T20" s="86"/>
      <c r="U20" s="278" t="s">
        <v>116</v>
      </c>
      <c r="V20" s="279"/>
      <c r="W20" s="140"/>
      <c r="X20" s="140"/>
      <c r="Y20" s="140"/>
      <c r="Z20" s="140"/>
      <c r="AA20" s="79"/>
    </row>
    <row r="21" spans="1:27" ht="20.149999999999999" customHeight="1">
      <c r="A21" s="62"/>
      <c r="B21" s="62"/>
      <c r="C21" s="98"/>
      <c r="D21" s="80"/>
      <c r="E21" s="127"/>
      <c r="F21" s="123" t="s">
        <v>86</v>
      </c>
      <c r="G21" s="137"/>
      <c r="H21" s="128"/>
      <c r="I21" s="140"/>
      <c r="J21" s="140"/>
      <c r="K21" s="140"/>
      <c r="L21" s="140"/>
      <c r="M21" s="140"/>
      <c r="N21" s="140"/>
      <c r="O21" s="205" t="s">
        <v>68</v>
      </c>
      <c r="P21" s="217">
        <f>PENGATURAN!C31</f>
        <v>1000000</v>
      </c>
      <c r="Q21" s="86"/>
      <c r="R21" s="211" t="s">
        <v>68</v>
      </c>
      <c r="S21" s="218">
        <f>PENGATURAN!C32</f>
        <v>1000000</v>
      </c>
      <c r="T21" s="86"/>
      <c r="U21" s="208" t="s">
        <v>68</v>
      </c>
      <c r="V21" s="219">
        <f>PENGATURAN!C33</f>
        <v>1000000</v>
      </c>
      <c r="W21" s="140"/>
      <c r="X21" s="140"/>
      <c r="Y21" s="140"/>
      <c r="Z21" s="140"/>
      <c r="AA21" s="79"/>
    </row>
    <row r="22" spans="1:27" ht="20.149999999999999" customHeight="1">
      <c r="A22" s="62"/>
      <c r="B22" s="62"/>
      <c r="C22" s="98"/>
      <c r="D22" s="80"/>
      <c r="E22" s="127"/>
      <c r="F22" s="123" t="s">
        <v>88</v>
      </c>
      <c r="G22" s="137"/>
      <c r="H22" s="128"/>
      <c r="I22" s="140"/>
      <c r="J22" s="140"/>
      <c r="K22" s="140"/>
      <c r="L22" s="140"/>
      <c r="M22" s="140"/>
      <c r="N22" s="140"/>
      <c r="O22" s="206">
        <v>0.5</v>
      </c>
      <c r="P22" s="207" t="s">
        <v>70</v>
      </c>
      <c r="Q22" s="86"/>
      <c r="R22" s="212">
        <v>0.5</v>
      </c>
      <c r="S22" s="213" t="s">
        <v>70</v>
      </c>
      <c r="T22" s="86"/>
      <c r="U22" s="209">
        <v>0.5</v>
      </c>
      <c r="V22" s="210" t="s">
        <v>70</v>
      </c>
      <c r="W22" s="140"/>
      <c r="X22" s="140"/>
      <c r="Y22" s="140"/>
      <c r="Z22" s="140"/>
      <c r="AA22" s="79"/>
    </row>
    <row r="23" spans="1:27" ht="20.149999999999999" customHeight="1">
      <c r="A23" s="62"/>
      <c r="B23" s="62"/>
      <c r="C23" s="98"/>
      <c r="D23" s="80"/>
      <c r="E23" s="127"/>
      <c r="F23" s="123" t="s">
        <v>87</v>
      </c>
      <c r="G23" s="137"/>
      <c r="H23" s="128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140"/>
      <c r="AA23" s="79"/>
    </row>
    <row r="24" spans="1:27" ht="15.75" customHeight="1">
      <c r="A24" s="62"/>
      <c r="B24" s="62"/>
      <c r="C24" s="62"/>
      <c r="D24" s="79"/>
      <c r="E24" s="119"/>
      <c r="F24" s="142"/>
      <c r="G24" s="118"/>
      <c r="H24" s="128"/>
      <c r="I24" s="79"/>
      <c r="J24" s="79"/>
      <c r="K24" s="79"/>
      <c r="L24" s="79"/>
      <c r="M24" s="79"/>
      <c r="N24" s="79"/>
      <c r="O24" s="271" t="s">
        <v>34</v>
      </c>
      <c r="P24" s="272"/>
      <c r="Q24" s="79"/>
      <c r="R24" s="79"/>
      <c r="S24" s="79"/>
      <c r="T24" s="79"/>
      <c r="U24" s="79"/>
      <c r="V24" s="79"/>
      <c r="W24" s="79"/>
      <c r="X24" s="79"/>
      <c r="Y24" s="79"/>
      <c r="Z24" s="79"/>
      <c r="AA24" s="79"/>
    </row>
    <row r="25" spans="1:27" ht="15.75" customHeight="1">
      <c r="A25" s="62"/>
      <c r="B25" s="62"/>
      <c r="C25" s="62"/>
      <c r="D25" s="79"/>
      <c r="E25" s="119"/>
      <c r="F25" s="142"/>
      <c r="G25" s="142"/>
      <c r="H25" s="128"/>
      <c r="I25" s="79"/>
      <c r="J25" s="79"/>
      <c r="K25" s="79"/>
      <c r="L25" s="79"/>
      <c r="M25" s="79"/>
      <c r="N25" s="79"/>
      <c r="O25" s="202" t="s">
        <v>68</v>
      </c>
      <c r="P25" s="216">
        <f>PENGATURAN!C30</f>
        <v>1000000</v>
      </c>
      <c r="Q25" s="79"/>
      <c r="R25" s="79"/>
      <c r="S25" s="79"/>
      <c r="T25" s="79"/>
      <c r="U25" s="79"/>
      <c r="V25" s="79"/>
      <c r="W25" s="79"/>
      <c r="X25" s="79"/>
      <c r="Y25" s="79"/>
      <c r="Z25" s="79"/>
      <c r="AA25" s="79"/>
    </row>
    <row r="26" spans="1:27" ht="15.75" customHeight="1">
      <c r="A26" s="62"/>
      <c r="B26" s="62"/>
      <c r="C26" s="62"/>
      <c r="D26" s="79"/>
      <c r="E26" s="130"/>
      <c r="F26" s="131"/>
      <c r="G26" s="131"/>
      <c r="H26" s="132"/>
      <c r="I26" s="79"/>
      <c r="J26" s="79"/>
      <c r="K26" s="79"/>
      <c r="L26" s="79"/>
      <c r="M26" s="79"/>
      <c r="N26" s="79"/>
      <c r="O26" s="203">
        <v>0.5</v>
      </c>
      <c r="P26" s="204" t="s">
        <v>70</v>
      </c>
      <c r="Q26" s="79"/>
      <c r="R26" s="79"/>
      <c r="S26" s="79"/>
      <c r="T26" s="79"/>
      <c r="U26" s="79"/>
      <c r="V26" s="79"/>
      <c r="W26" s="79"/>
      <c r="X26" s="79"/>
      <c r="Y26" s="79"/>
      <c r="Z26" s="79"/>
      <c r="AA26" s="79"/>
    </row>
    <row r="27" spans="1:27" ht="15.75" customHeight="1">
      <c r="A27" s="62"/>
      <c r="B27" s="62"/>
      <c r="C27" s="62"/>
      <c r="D27" s="79"/>
      <c r="E27" s="79"/>
      <c r="F27" s="79"/>
      <c r="G27" s="79"/>
      <c r="H27" s="79"/>
      <c r="I27" s="79"/>
      <c r="J27" s="79"/>
      <c r="K27" s="79"/>
      <c r="L27" s="79"/>
      <c r="M27" s="79"/>
      <c r="N27" s="79"/>
      <c r="O27" s="79"/>
      <c r="P27" s="79"/>
      <c r="Q27" s="79"/>
      <c r="R27" s="79"/>
      <c r="S27" s="79"/>
      <c r="T27" s="79"/>
      <c r="U27" s="79"/>
      <c r="V27" s="79"/>
      <c r="W27" s="79"/>
      <c r="X27" s="79"/>
      <c r="Y27" s="79"/>
      <c r="Z27" s="79"/>
      <c r="AA27" s="79"/>
    </row>
    <row r="28" spans="1:27" ht="15.75" customHeight="1">
      <c r="A28" s="62"/>
      <c r="B28" s="62"/>
      <c r="C28" s="62"/>
      <c r="D28" s="79"/>
      <c r="E28" s="79"/>
      <c r="F28" s="79"/>
      <c r="G28" s="79"/>
      <c r="H28" s="79"/>
      <c r="I28" s="79"/>
      <c r="J28" s="79"/>
      <c r="K28" s="79"/>
      <c r="L28" s="79"/>
      <c r="M28" s="79"/>
      <c r="N28" s="79"/>
      <c r="O28" s="79"/>
      <c r="P28" s="79"/>
      <c r="Q28" s="79"/>
      <c r="R28" s="79"/>
      <c r="S28" s="79"/>
      <c r="T28" s="79"/>
      <c r="U28" s="79"/>
      <c r="V28" s="79"/>
      <c r="W28" s="79"/>
      <c r="X28" s="79"/>
      <c r="Y28" s="79"/>
      <c r="Z28" s="79"/>
      <c r="AA28" s="79"/>
    </row>
    <row r="29" spans="1:27" ht="15.75" customHeight="1">
      <c r="A29" s="62"/>
      <c r="B29" s="62"/>
      <c r="C29" s="62"/>
      <c r="D29" s="79"/>
      <c r="E29" s="79"/>
      <c r="F29" s="79"/>
      <c r="G29" s="79"/>
      <c r="H29" s="79"/>
      <c r="I29" s="79"/>
      <c r="J29" s="79"/>
      <c r="K29" s="79"/>
      <c r="L29" s="79"/>
      <c r="M29" s="79"/>
      <c r="N29" s="79"/>
      <c r="O29" s="79"/>
      <c r="P29" s="79"/>
      <c r="Q29" s="79"/>
      <c r="R29" s="79"/>
      <c r="S29" s="79"/>
      <c r="T29" s="79"/>
      <c r="U29" s="79"/>
      <c r="V29" s="79"/>
      <c r="W29" s="79"/>
      <c r="X29" s="79"/>
      <c r="Y29" s="79"/>
      <c r="Z29" s="79"/>
      <c r="AA29" s="79"/>
    </row>
    <row r="30" spans="1:27" ht="15.75" customHeight="1">
      <c r="A30" s="62"/>
      <c r="B30" s="62"/>
      <c r="C30" s="62"/>
      <c r="D30" s="79"/>
      <c r="E30" s="79"/>
      <c r="F30" s="79"/>
      <c r="G30" s="79"/>
      <c r="H30" s="79"/>
      <c r="I30" s="79"/>
      <c r="J30" s="79"/>
      <c r="K30" s="79"/>
      <c r="L30" s="79"/>
      <c r="M30" s="79"/>
      <c r="N30" s="79"/>
      <c r="O30" s="79"/>
      <c r="P30" s="79"/>
      <c r="Q30" s="79"/>
      <c r="R30" s="79"/>
      <c r="S30" s="79"/>
      <c r="T30" s="79"/>
      <c r="U30" s="79"/>
      <c r="V30" s="79"/>
      <c r="W30" s="79"/>
      <c r="X30" s="79"/>
      <c r="Y30" s="79"/>
      <c r="Z30" s="79"/>
      <c r="AA30" s="79"/>
    </row>
    <row r="31" spans="1:27" ht="15.75" customHeight="1">
      <c r="A31" s="62"/>
      <c r="B31" s="62"/>
      <c r="C31" s="62"/>
      <c r="D31" s="79"/>
      <c r="E31" s="79"/>
      <c r="F31" s="79"/>
      <c r="G31" s="79"/>
      <c r="H31" s="79"/>
      <c r="I31" s="79"/>
      <c r="J31" s="79"/>
      <c r="K31" s="79"/>
      <c r="L31" s="79"/>
      <c r="M31" s="79"/>
      <c r="N31" s="79"/>
      <c r="O31" s="79"/>
      <c r="P31" s="79"/>
      <c r="Q31" s="79"/>
      <c r="R31" s="79"/>
      <c r="S31" s="79"/>
      <c r="T31" s="79"/>
      <c r="U31" s="79"/>
      <c r="V31" s="79"/>
      <c r="W31" s="79"/>
      <c r="X31" s="79"/>
      <c r="Y31" s="79"/>
      <c r="Z31" s="79"/>
      <c r="AA31" s="79"/>
    </row>
    <row r="32" spans="1:27" ht="15.75" customHeight="1">
      <c r="A32" s="62"/>
      <c r="B32" s="62"/>
      <c r="C32" s="62"/>
      <c r="D32" s="79"/>
      <c r="E32" s="79"/>
      <c r="F32" s="79"/>
      <c r="G32" s="79"/>
      <c r="H32" s="79"/>
      <c r="I32" s="79"/>
      <c r="J32" s="79"/>
      <c r="K32" s="79"/>
      <c r="L32" s="79"/>
      <c r="M32" s="79"/>
      <c r="N32" s="79"/>
      <c r="O32" s="79"/>
      <c r="P32" s="79"/>
      <c r="Q32" s="79"/>
      <c r="R32" s="79"/>
      <c r="S32" s="79"/>
      <c r="T32" s="79"/>
      <c r="U32" s="79"/>
      <c r="V32" s="79"/>
      <c r="W32" s="79"/>
      <c r="X32" s="79"/>
      <c r="Y32" s="79"/>
      <c r="Z32" s="79"/>
      <c r="AA32" s="79"/>
    </row>
    <row r="33" spans="1:27" ht="15.75" customHeight="1">
      <c r="A33" s="62"/>
      <c r="B33" s="62"/>
      <c r="C33" s="62"/>
      <c r="D33" s="79"/>
      <c r="E33" s="79"/>
      <c r="F33" s="79"/>
      <c r="G33" s="79"/>
      <c r="H33" s="79"/>
      <c r="I33" s="79"/>
      <c r="J33" s="79"/>
      <c r="K33" s="79"/>
      <c r="L33" s="79"/>
      <c r="M33" s="79"/>
      <c r="N33" s="79"/>
      <c r="O33" s="79"/>
      <c r="P33" s="79"/>
      <c r="Q33" s="79"/>
      <c r="R33" s="79"/>
      <c r="S33" s="79"/>
      <c r="T33" s="79"/>
      <c r="U33" s="79"/>
      <c r="V33" s="79"/>
      <c r="W33" s="79"/>
      <c r="X33" s="79"/>
      <c r="Y33" s="79"/>
      <c r="Z33" s="79"/>
      <c r="AA33" s="79"/>
    </row>
    <row r="34" spans="1:27" ht="15.75" customHeight="1">
      <c r="A34" s="62"/>
      <c r="B34" s="62"/>
      <c r="C34" s="62"/>
      <c r="D34" s="79"/>
      <c r="E34" s="79"/>
      <c r="F34" s="79"/>
      <c r="G34" s="79"/>
      <c r="H34" s="79"/>
      <c r="I34" s="79"/>
      <c r="J34" s="79"/>
      <c r="K34" s="79"/>
      <c r="L34" s="79"/>
      <c r="M34" s="79"/>
      <c r="N34" s="79"/>
      <c r="O34" s="79"/>
      <c r="Q34" s="79"/>
      <c r="R34" s="79"/>
      <c r="S34" s="79"/>
      <c r="T34" s="79"/>
      <c r="U34" s="79"/>
      <c r="V34" s="79"/>
      <c r="W34" s="79"/>
      <c r="X34" s="79"/>
      <c r="Y34" s="79"/>
      <c r="Z34" s="79"/>
      <c r="AA34" s="79"/>
    </row>
    <row r="35" spans="1:27" ht="15.75" customHeight="1">
      <c r="A35" s="62"/>
      <c r="B35" s="62"/>
      <c r="C35" s="62"/>
      <c r="D35" s="79"/>
      <c r="E35" s="79"/>
      <c r="F35" s="79"/>
      <c r="G35" s="79"/>
      <c r="H35" s="79"/>
      <c r="I35" s="79"/>
      <c r="J35" s="79"/>
      <c r="K35" s="79"/>
      <c r="L35" s="79"/>
      <c r="M35" s="79"/>
      <c r="N35" s="79"/>
      <c r="O35" s="79"/>
      <c r="P35" s="79"/>
      <c r="Q35" s="79"/>
      <c r="R35" s="79"/>
      <c r="S35" s="79"/>
      <c r="T35" s="79"/>
      <c r="U35" s="79"/>
      <c r="V35" s="79"/>
      <c r="W35" s="79"/>
      <c r="X35" s="79"/>
      <c r="Y35" s="79"/>
      <c r="Z35" s="79"/>
      <c r="AA35" s="79"/>
    </row>
    <row r="36" spans="1:27" ht="15.75" customHeight="1">
      <c r="A36" s="62"/>
      <c r="B36" s="62"/>
      <c r="C36" s="62"/>
      <c r="D36" s="79"/>
      <c r="E36" s="79"/>
      <c r="F36" s="79"/>
      <c r="G36" s="79"/>
      <c r="H36" s="79"/>
      <c r="I36" s="79"/>
      <c r="J36" s="79"/>
      <c r="K36" s="79"/>
      <c r="L36" s="79"/>
      <c r="M36" s="79"/>
      <c r="N36" s="79"/>
      <c r="O36" s="79"/>
      <c r="P36" s="79"/>
      <c r="Q36" s="79"/>
      <c r="R36" s="79"/>
      <c r="S36" s="79"/>
      <c r="T36" s="79"/>
      <c r="U36" s="79"/>
      <c r="V36" s="79"/>
      <c r="W36" s="79"/>
      <c r="X36" s="79"/>
      <c r="Y36" s="79"/>
      <c r="Z36" s="79"/>
      <c r="AA36" s="79"/>
    </row>
    <row r="37" spans="1:27" ht="15.75" customHeight="1">
      <c r="A37" s="62"/>
      <c r="B37" s="62"/>
      <c r="C37" s="62"/>
      <c r="D37" s="79"/>
      <c r="E37" s="79"/>
      <c r="F37" s="79"/>
      <c r="G37" s="79"/>
      <c r="H37" s="79"/>
      <c r="I37" s="79"/>
      <c r="J37" s="79"/>
      <c r="K37" s="79"/>
      <c r="L37" s="79"/>
      <c r="M37" s="79"/>
      <c r="N37" s="79"/>
      <c r="O37" s="79"/>
      <c r="P37" s="79"/>
      <c r="Q37" s="79"/>
      <c r="R37" s="79"/>
      <c r="S37" s="79"/>
    </row>
    <row r="38" spans="1:27" ht="15.75" customHeight="1">
      <c r="A38" s="62"/>
      <c r="B38" s="62"/>
      <c r="C38" s="62"/>
      <c r="D38" s="79"/>
      <c r="E38" s="79"/>
      <c r="F38" s="79"/>
      <c r="G38" s="79"/>
      <c r="H38" s="79"/>
      <c r="I38" s="79"/>
      <c r="J38" s="79"/>
      <c r="K38" s="79"/>
      <c r="L38" s="79"/>
      <c r="M38" s="79"/>
      <c r="N38" s="79"/>
      <c r="O38" s="79"/>
      <c r="P38" s="79"/>
      <c r="Q38" s="79"/>
      <c r="R38" s="79"/>
      <c r="S38" s="79"/>
    </row>
    <row r="39" spans="1:27" ht="15.75" customHeight="1">
      <c r="A39" s="62"/>
      <c r="B39" s="62"/>
      <c r="C39" s="62"/>
      <c r="D39" s="79"/>
      <c r="E39" s="79"/>
      <c r="F39" s="79"/>
      <c r="G39" s="79"/>
      <c r="H39" s="79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</row>
    <row r="40" spans="1:27" ht="15.75" customHeight="1">
      <c r="A40" s="62"/>
      <c r="B40" s="62"/>
      <c r="C40" s="62"/>
      <c r="D40" s="79"/>
      <c r="E40" s="79"/>
      <c r="F40" s="79"/>
      <c r="G40" s="79"/>
      <c r="H40" s="79"/>
      <c r="I40" s="79"/>
      <c r="J40" s="79"/>
      <c r="K40" s="79"/>
      <c r="L40" s="79"/>
      <c r="M40" s="79"/>
      <c r="N40" s="79"/>
      <c r="O40" s="79"/>
      <c r="P40" s="79"/>
      <c r="Q40" s="79"/>
      <c r="R40" s="79"/>
      <c r="S40" s="79"/>
    </row>
    <row r="41" spans="1:27" ht="15.75" customHeight="1">
      <c r="A41" s="62"/>
      <c r="B41" s="62"/>
      <c r="C41" s="62"/>
      <c r="D41" s="79"/>
      <c r="E41" s="79"/>
      <c r="F41" s="79"/>
      <c r="G41" s="79"/>
      <c r="H41" s="79"/>
      <c r="I41" s="79"/>
      <c r="J41" s="79"/>
      <c r="K41" s="79"/>
      <c r="L41" s="79"/>
      <c r="M41" s="79"/>
      <c r="N41" s="79"/>
      <c r="O41" s="79"/>
      <c r="P41" s="79"/>
      <c r="Q41" s="79"/>
      <c r="R41" s="79"/>
      <c r="S41" s="79"/>
    </row>
    <row r="42" spans="1:27" ht="15.75" customHeight="1">
      <c r="A42" s="62"/>
      <c r="B42" s="62"/>
      <c r="C42" s="62"/>
      <c r="D42" s="79"/>
      <c r="E42" s="79"/>
      <c r="F42" s="79"/>
      <c r="G42" s="79"/>
      <c r="H42" s="79"/>
      <c r="I42" s="79"/>
      <c r="J42" s="79"/>
      <c r="K42" s="79"/>
      <c r="L42" s="79"/>
      <c r="M42" s="79"/>
      <c r="N42" s="79"/>
      <c r="O42" s="79"/>
      <c r="P42" s="79"/>
      <c r="Q42" s="79"/>
      <c r="R42" s="79"/>
      <c r="S42" s="79"/>
    </row>
    <row r="43" spans="1:27" ht="15.75" customHeight="1">
      <c r="A43" s="62"/>
      <c r="B43" s="62"/>
      <c r="C43" s="62"/>
      <c r="D43" s="79"/>
      <c r="E43" s="79"/>
      <c r="F43" s="79"/>
      <c r="G43" s="79"/>
      <c r="H43" s="79"/>
      <c r="I43" s="79"/>
      <c r="J43" s="79"/>
      <c r="K43" s="79"/>
      <c r="L43" s="79"/>
      <c r="M43" s="79"/>
      <c r="N43" s="79"/>
      <c r="O43" s="79"/>
      <c r="P43" s="79"/>
      <c r="Q43" s="79"/>
      <c r="R43" s="79"/>
      <c r="S43" s="79"/>
    </row>
    <row r="44" spans="1:27" ht="15.75" customHeight="1">
      <c r="A44" s="62"/>
      <c r="B44" s="62"/>
      <c r="C44" s="62"/>
      <c r="D44" s="79"/>
      <c r="E44" s="79"/>
      <c r="F44" s="79"/>
      <c r="G44" s="79"/>
      <c r="H44" s="79"/>
      <c r="I44" s="79"/>
      <c r="J44" s="79"/>
      <c r="K44" s="79"/>
      <c r="L44" s="79"/>
      <c r="M44" s="79"/>
      <c r="N44" s="79"/>
      <c r="O44" s="79"/>
      <c r="P44" s="79"/>
      <c r="Q44" s="79"/>
      <c r="R44" s="79"/>
      <c r="S44" s="79"/>
    </row>
    <row r="45" spans="1:27" ht="15.75" customHeight="1">
      <c r="D45" s="79"/>
      <c r="E45" s="79"/>
      <c r="F45" s="79"/>
      <c r="G45" s="79"/>
      <c r="H45" s="79"/>
      <c r="I45" s="79"/>
      <c r="J45" s="79"/>
      <c r="K45" s="79"/>
      <c r="L45" s="79"/>
      <c r="M45" s="79"/>
      <c r="N45" s="79"/>
      <c r="O45" s="79"/>
      <c r="P45" s="79"/>
      <c r="Q45" s="79"/>
      <c r="R45" s="79"/>
      <c r="S45" s="79"/>
    </row>
    <row r="46" spans="1:27" ht="15.75" customHeight="1">
      <c r="D46" s="79"/>
      <c r="E46" s="79"/>
      <c r="F46" s="79"/>
      <c r="G46" s="79"/>
      <c r="H46" s="79"/>
      <c r="I46" s="79"/>
      <c r="J46" s="79"/>
      <c r="K46" s="79"/>
      <c r="L46" s="79"/>
      <c r="M46" s="79"/>
      <c r="N46" s="79"/>
      <c r="O46" s="79"/>
      <c r="P46" s="79"/>
      <c r="Q46" s="79"/>
      <c r="R46" s="79"/>
      <c r="S46" s="79"/>
    </row>
    <row r="47" spans="1:27" ht="15.75" customHeight="1">
      <c r="D47" s="79"/>
      <c r="E47" s="79"/>
      <c r="F47" s="79"/>
      <c r="G47" s="79"/>
      <c r="H47" s="79"/>
      <c r="I47" s="79"/>
      <c r="J47" s="79"/>
      <c r="K47" s="79"/>
      <c r="L47" s="79"/>
      <c r="M47" s="79"/>
      <c r="N47" s="79"/>
      <c r="O47" s="79"/>
      <c r="P47" s="79"/>
      <c r="Q47" s="79"/>
      <c r="R47" s="79"/>
      <c r="S47" s="79"/>
    </row>
    <row r="48" spans="1:27" ht="15.75" customHeight="1">
      <c r="D48" s="79"/>
      <c r="E48" s="79"/>
      <c r="F48" s="79"/>
      <c r="G48" s="79"/>
      <c r="H48" s="79"/>
      <c r="I48" s="79"/>
      <c r="J48" s="79"/>
      <c r="K48" s="79"/>
      <c r="L48" s="79"/>
      <c r="M48" s="79"/>
      <c r="N48" s="79"/>
      <c r="O48" s="79"/>
      <c r="P48" s="79"/>
      <c r="Q48" s="79"/>
      <c r="R48" s="79"/>
      <c r="S48" s="79"/>
    </row>
    <row r="49" spans="4:19" ht="15.75" customHeight="1">
      <c r="D49" s="79"/>
      <c r="E49" s="79"/>
      <c r="F49" s="79"/>
      <c r="G49" s="79"/>
      <c r="H49" s="79"/>
      <c r="I49" s="79"/>
      <c r="J49" s="79"/>
      <c r="K49" s="79"/>
      <c r="L49" s="79"/>
      <c r="M49" s="79"/>
      <c r="N49" s="79"/>
      <c r="O49" s="79"/>
      <c r="P49" s="79"/>
      <c r="Q49" s="79"/>
      <c r="R49" s="79"/>
      <c r="S49" s="79"/>
    </row>
    <row r="50" spans="4:19" ht="15.75" customHeight="1">
      <c r="D50" s="79"/>
      <c r="E50" s="79"/>
      <c r="F50" s="79"/>
      <c r="G50" s="79"/>
      <c r="H50" s="79"/>
      <c r="I50" s="79"/>
      <c r="J50" s="79"/>
      <c r="K50" s="79"/>
      <c r="L50" s="79"/>
      <c r="M50" s="79"/>
      <c r="N50" s="79"/>
      <c r="O50" s="79"/>
      <c r="P50" s="79"/>
      <c r="Q50" s="79"/>
      <c r="R50" s="79"/>
      <c r="S50" s="79"/>
    </row>
    <row r="51" spans="4:19" ht="15.75" customHeight="1">
      <c r="D51" s="79"/>
      <c r="E51" s="79"/>
      <c r="F51" s="79"/>
      <c r="G51" s="79"/>
      <c r="H51" s="79"/>
      <c r="I51" s="79"/>
      <c r="J51" s="79"/>
      <c r="K51" s="79"/>
      <c r="L51" s="79"/>
      <c r="M51" s="79"/>
      <c r="N51" s="79"/>
      <c r="O51" s="79"/>
      <c r="P51" s="79"/>
      <c r="Q51" s="79"/>
      <c r="R51" s="79"/>
      <c r="S51" s="79"/>
    </row>
    <row r="52" spans="4:19" ht="15.75" customHeight="1">
      <c r="D52" s="79"/>
      <c r="E52" s="79"/>
      <c r="F52" s="79"/>
      <c r="G52" s="79"/>
      <c r="H52" s="79"/>
      <c r="I52" s="79"/>
      <c r="J52" s="79"/>
      <c r="K52" s="79"/>
      <c r="L52" s="79"/>
      <c r="M52" s="79"/>
      <c r="N52" s="79"/>
      <c r="O52" s="79"/>
      <c r="P52" s="79"/>
      <c r="Q52" s="79"/>
      <c r="R52" s="79"/>
      <c r="S52" s="79"/>
    </row>
    <row r="53" spans="4:19" ht="15.75" customHeight="1">
      <c r="D53" s="79"/>
      <c r="E53" s="79"/>
      <c r="F53" s="79"/>
      <c r="G53" s="79"/>
      <c r="H53" s="79"/>
      <c r="I53" s="79"/>
      <c r="J53" s="79"/>
      <c r="K53" s="79"/>
      <c r="L53" s="79"/>
      <c r="M53" s="79"/>
      <c r="N53" s="79"/>
      <c r="O53" s="79"/>
      <c r="P53" s="79"/>
      <c r="Q53" s="79"/>
      <c r="R53" s="79"/>
      <c r="S53" s="79"/>
    </row>
    <row r="54" spans="4:19" ht="15.75" customHeight="1">
      <c r="D54" s="79"/>
      <c r="E54" s="79"/>
      <c r="F54" s="79"/>
      <c r="G54" s="79"/>
      <c r="H54" s="79"/>
      <c r="I54" s="79"/>
      <c r="J54" s="79"/>
      <c r="K54" s="79"/>
      <c r="L54" s="79"/>
      <c r="M54" s="79"/>
      <c r="N54" s="79"/>
      <c r="O54" s="79"/>
      <c r="P54" s="79"/>
      <c r="Q54" s="79"/>
      <c r="R54" s="79"/>
      <c r="S54" s="79"/>
    </row>
    <row r="61" spans="4:19" ht="15.75" customHeight="1">
      <c r="H61" s="240" t="s">
        <v>16</v>
      </c>
      <c r="I61" s="240"/>
      <c r="J61" s="240"/>
      <c r="K61" s="240"/>
      <c r="L61" s="240"/>
      <c r="M61" s="240"/>
      <c r="N61" s="240"/>
      <c r="O61" s="240"/>
      <c r="P61" s="240"/>
      <c r="Q61" s="240"/>
      <c r="R61" s="240"/>
      <c r="S61" s="240"/>
    </row>
    <row r="62" spans="4:19" ht="15.75" customHeight="1">
      <c r="G62" s="76" t="s">
        <v>9</v>
      </c>
      <c r="H62" s="74">
        <v>1</v>
      </c>
      <c r="I62" s="74"/>
      <c r="J62" s="74">
        <v>2</v>
      </c>
      <c r="K62" s="74">
        <v>3</v>
      </c>
      <c r="L62" s="74"/>
      <c r="M62" s="74">
        <v>5</v>
      </c>
      <c r="N62" s="74">
        <v>6</v>
      </c>
      <c r="O62" s="74"/>
      <c r="P62" s="74">
        <v>7</v>
      </c>
      <c r="Q62" s="74">
        <v>8</v>
      </c>
      <c r="R62" s="74">
        <v>9</v>
      </c>
      <c r="S62" s="74">
        <v>10</v>
      </c>
    </row>
    <row r="63" spans="4:19" ht="15.75" customHeight="1">
      <c r="G63" s="76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4:19" ht="15.75" customHeight="1">
      <c r="G64" s="76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76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76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76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76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76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1" t="s">
        <v>15</v>
      </c>
      <c r="H86" s="251"/>
      <c r="I86" s="251"/>
      <c r="J86" s="251"/>
      <c r="K86" s="43"/>
      <c r="L86" s="43"/>
      <c r="N86" s="252" t="s">
        <v>11</v>
      </c>
      <c r="O86" s="252"/>
      <c r="P86" s="252"/>
      <c r="Q86" s="252"/>
      <c r="R86" s="252"/>
      <c r="S86" s="252"/>
      <c r="U86" s="252" t="s">
        <v>28</v>
      </c>
      <c r="V86" s="252"/>
      <c r="W86" s="252"/>
      <c r="X86" s="252"/>
      <c r="Y86" s="252"/>
    </row>
    <row r="87" spans="7:25" ht="15.75" customHeight="1">
      <c r="G87" s="76" t="s">
        <v>0</v>
      </c>
      <c r="H87" s="76" t="s">
        <v>9</v>
      </c>
      <c r="I87" s="76"/>
      <c r="J87" s="76" t="s">
        <v>30</v>
      </c>
      <c r="K87" s="76" t="s">
        <v>36</v>
      </c>
      <c r="L87" s="100"/>
      <c r="N87" s="252"/>
      <c r="O87" s="252"/>
      <c r="P87" s="252"/>
      <c r="Q87" s="252"/>
      <c r="R87" s="252"/>
      <c r="S87" s="252"/>
      <c r="U87" s="252"/>
      <c r="V87" s="252"/>
      <c r="W87" s="252"/>
      <c r="X87" s="252"/>
      <c r="Y87" s="252"/>
    </row>
    <row r="88" spans="7:25" ht="15.75" customHeight="1">
      <c r="G88" s="76">
        <v>1</v>
      </c>
      <c r="H88" s="76" t="s">
        <v>1</v>
      </c>
      <c r="I88" s="76"/>
      <c r="J88" s="45">
        <v>900000</v>
      </c>
      <c r="K88" s="45">
        <f>J88/2</f>
        <v>450000</v>
      </c>
      <c r="L88" s="101"/>
      <c r="N88" s="241">
        <v>6000000</v>
      </c>
      <c r="O88" s="242"/>
      <c r="P88" s="242"/>
      <c r="Q88" s="242"/>
      <c r="R88" s="242"/>
      <c r="S88" s="243"/>
      <c r="U88" s="241">
        <v>6000000</v>
      </c>
      <c r="V88" s="242"/>
      <c r="W88" s="242"/>
      <c r="X88" s="242"/>
      <c r="Y88" s="243"/>
    </row>
    <row r="89" spans="7:25" ht="15.75" customHeight="1">
      <c r="G89" s="76">
        <v>2</v>
      </c>
      <c r="H89" s="76" t="s">
        <v>2</v>
      </c>
      <c r="I89" s="76"/>
      <c r="J89" s="45">
        <v>800000</v>
      </c>
      <c r="K89" s="45">
        <f t="shared" ref="K89:K94" si="0">J89/2</f>
        <v>400000</v>
      </c>
      <c r="L89" s="101"/>
      <c r="N89" s="244"/>
      <c r="O89" s="245"/>
      <c r="P89" s="245"/>
      <c r="Q89" s="245"/>
      <c r="R89" s="245"/>
      <c r="S89" s="246"/>
      <c r="U89" s="244"/>
      <c r="V89" s="245"/>
      <c r="W89" s="245"/>
      <c r="X89" s="245"/>
      <c r="Y89" s="246"/>
    </row>
    <row r="90" spans="7:25" ht="15.75" customHeight="1">
      <c r="G90" s="76">
        <v>3</v>
      </c>
      <c r="H90" s="76" t="s">
        <v>3</v>
      </c>
      <c r="I90" s="76"/>
      <c r="J90" s="45">
        <v>900000</v>
      </c>
      <c r="K90" s="45">
        <f t="shared" si="0"/>
        <v>450000</v>
      </c>
      <c r="L90" s="101"/>
      <c r="N90" s="244"/>
      <c r="O90" s="245"/>
      <c r="P90" s="245"/>
      <c r="Q90" s="245"/>
      <c r="R90" s="245"/>
      <c r="S90" s="246"/>
      <c r="U90" s="244"/>
      <c r="V90" s="245"/>
      <c r="W90" s="245"/>
      <c r="X90" s="245"/>
      <c r="Y90" s="246"/>
    </row>
    <row r="91" spans="7:25" ht="15.75" customHeight="1">
      <c r="G91" s="76">
        <v>4</v>
      </c>
      <c r="H91" s="76" t="s">
        <v>4</v>
      </c>
      <c r="I91" s="76"/>
      <c r="J91" s="45">
        <v>1000000</v>
      </c>
      <c r="K91" s="45">
        <f t="shared" si="0"/>
        <v>500000</v>
      </c>
      <c r="L91" s="101"/>
      <c r="N91" s="244"/>
      <c r="O91" s="245"/>
      <c r="P91" s="245"/>
      <c r="Q91" s="245"/>
      <c r="R91" s="245"/>
      <c r="S91" s="246"/>
      <c r="U91" s="244"/>
      <c r="V91" s="245"/>
      <c r="W91" s="245"/>
      <c r="X91" s="245"/>
      <c r="Y91" s="246"/>
    </row>
    <row r="92" spans="7:25" ht="15.75" customHeight="1">
      <c r="G92" s="76">
        <v>5</v>
      </c>
      <c r="H92" s="76" t="s">
        <v>5</v>
      </c>
      <c r="I92" s="76"/>
      <c r="J92" s="45">
        <v>400000</v>
      </c>
      <c r="K92" s="45">
        <f t="shared" si="0"/>
        <v>200000</v>
      </c>
      <c r="L92" s="101"/>
      <c r="N92" s="244"/>
      <c r="O92" s="245"/>
      <c r="P92" s="245"/>
      <c r="Q92" s="245"/>
      <c r="R92" s="245"/>
      <c r="S92" s="246"/>
      <c r="U92" s="244"/>
      <c r="V92" s="245"/>
      <c r="W92" s="245"/>
      <c r="X92" s="245"/>
      <c r="Y92" s="246"/>
    </row>
    <row r="93" spans="7:25" ht="15.75" customHeight="1">
      <c r="G93" s="76">
        <v>6</v>
      </c>
      <c r="H93" s="76" t="s">
        <v>6</v>
      </c>
      <c r="I93" s="76"/>
      <c r="J93" s="45">
        <v>100000</v>
      </c>
      <c r="K93" s="45">
        <f t="shared" si="0"/>
        <v>50000</v>
      </c>
      <c r="L93" s="101"/>
      <c r="N93" s="244"/>
      <c r="O93" s="245"/>
      <c r="P93" s="245"/>
      <c r="Q93" s="245"/>
      <c r="R93" s="245"/>
      <c r="S93" s="246"/>
      <c r="U93" s="244"/>
      <c r="V93" s="245"/>
      <c r="W93" s="245"/>
      <c r="X93" s="245"/>
      <c r="Y93" s="246"/>
    </row>
    <row r="94" spans="7:25" ht="15.75" customHeight="1">
      <c r="G94" s="76">
        <v>7</v>
      </c>
      <c r="H94" s="76" t="s">
        <v>7</v>
      </c>
      <c r="I94" s="76"/>
      <c r="J94" s="45">
        <v>100000</v>
      </c>
      <c r="K94" s="45">
        <f t="shared" si="0"/>
        <v>50000</v>
      </c>
      <c r="L94" s="101"/>
      <c r="N94" s="244"/>
      <c r="O94" s="245"/>
      <c r="P94" s="245"/>
      <c r="Q94" s="245"/>
      <c r="R94" s="245"/>
      <c r="S94" s="246"/>
      <c r="U94" s="244"/>
      <c r="V94" s="245"/>
      <c r="W94" s="245"/>
      <c r="X94" s="245"/>
      <c r="Y94" s="24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2"/>
      <c r="N95" s="247"/>
      <c r="O95" s="248"/>
      <c r="P95" s="248"/>
      <c r="Q95" s="248"/>
      <c r="R95" s="248"/>
      <c r="S95" s="249"/>
      <c r="U95" s="247"/>
      <c r="V95" s="248"/>
      <c r="W95" s="248"/>
      <c r="X95" s="248"/>
      <c r="Y95" s="249"/>
    </row>
    <row r="97" spans="7:25" ht="15.75" customHeight="1">
      <c r="G97" s="250" t="s">
        <v>12</v>
      </c>
      <c r="H97" s="250"/>
      <c r="I97" s="250"/>
      <c r="J97" s="250"/>
      <c r="K97" s="250"/>
      <c r="L97" s="100"/>
      <c r="N97" s="252" t="s">
        <v>29</v>
      </c>
      <c r="O97" s="252"/>
      <c r="P97" s="252"/>
      <c r="Q97" s="252"/>
      <c r="R97" s="252"/>
      <c r="S97" s="252"/>
      <c r="U97" s="259" t="s">
        <v>27</v>
      </c>
      <c r="V97" s="260"/>
      <c r="W97" s="260"/>
      <c r="X97" s="260"/>
      <c r="Y97" s="261"/>
    </row>
    <row r="98" spans="7:25" ht="15.75" customHeight="1">
      <c r="G98" s="76" t="s">
        <v>0</v>
      </c>
      <c r="H98" s="76" t="s">
        <v>13</v>
      </c>
      <c r="I98" s="76"/>
      <c r="J98" s="76" t="s">
        <v>9</v>
      </c>
      <c r="K98" s="76" t="s">
        <v>8</v>
      </c>
      <c r="L98" s="100"/>
      <c r="N98" s="252"/>
      <c r="O98" s="252"/>
      <c r="P98" s="252"/>
      <c r="Q98" s="252"/>
      <c r="R98" s="252"/>
      <c r="S98" s="252"/>
      <c r="U98" s="262"/>
      <c r="V98" s="263"/>
      <c r="W98" s="263"/>
      <c r="X98" s="263"/>
      <c r="Y98" s="264"/>
    </row>
    <row r="99" spans="7:25" ht="15.75" customHeight="1">
      <c r="G99" s="76">
        <v>1</v>
      </c>
      <c r="H99" s="76" t="s">
        <v>14</v>
      </c>
      <c r="I99" s="76"/>
      <c r="J99" s="76" t="s">
        <v>4</v>
      </c>
      <c r="K99" s="45">
        <v>2500000</v>
      </c>
      <c r="L99" s="101"/>
      <c r="N99" s="241">
        <v>6000000</v>
      </c>
      <c r="O99" s="242"/>
      <c r="P99" s="242"/>
      <c r="Q99" s="242"/>
      <c r="R99" s="242"/>
      <c r="S99" s="243"/>
      <c r="U99" s="241">
        <v>6000000</v>
      </c>
      <c r="V99" s="242"/>
      <c r="W99" s="242"/>
      <c r="X99" s="242"/>
      <c r="Y99" s="243"/>
    </row>
    <row r="100" spans="7:25" ht="15.75" customHeight="1">
      <c r="G100" s="76">
        <v>2</v>
      </c>
      <c r="H100" s="50" t="s">
        <v>22</v>
      </c>
      <c r="I100" s="50"/>
      <c r="J100" s="76" t="s">
        <v>4</v>
      </c>
      <c r="K100" s="45">
        <v>500000</v>
      </c>
      <c r="L100" s="101"/>
      <c r="N100" s="244"/>
      <c r="O100" s="245"/>
      <c r="P100" s="245"/>
      <c r="Q100" s="245"/>
      <c r="R100" s="245"/>
      <c r="S100" s="246"/>
      <c r="U100" s="244"/>
      <c r="V100" s="245"/>
      <c r="W100" s="245"/>
      <c r="X100" s="245"/>
      <c r="Y100" s="246"/>
    </row>
    <row r="101" spans="7:25" ht="15.75" customHeight="1">
      <c r="G101" s="76"/>
      <c r="H101" s="50"/>
      <c r="I101" s="50"/>
      <c r="J101" s="76"/>
      <c r="K101" s="45"/>
      <c r="L101" s="101"/>
      <c r="N101" s="244"/>
      <c r="O101" s="245"/>
      <c r="P101" s="245"/>
      <c r="Q101" s="245"/>
      <c r="R101" s="245"/>
      <c r="S101" s="246"/>
      <c r="U101" s="244"/>
      <c r="V101" s="245"/>
      <c r="W101" s="245"/>
      <c r="X101" s="245"/>
      <c r="Y101" s="246"/>
    </row>
    <row r="102" spans="7:25" ht="15.75" customHeight="1">
      <c r="G102" s="51"/>
      <c r="H102" s="51"/>
      <c r="I102" s="51"/>
      <c r="J102" s="52"/>
      <c r="K102" s="52"/>
      <c r="L102" s="103"/>
      <c r="N102" s="244"/>
      <c r="O102" s="245"/>
      <c r="P102" s="245"/>
      <c r="Q102" s="245"/>
      <c r="R102" s="245"/>
      <c r="S102" s="246"/>
      <c r="U102" s="244"/>
      <c r="V102" s="245"/>
      <c r="W102" s="245"/>
      <c r="X102" s="245"/>
      <c r="Y102" s="246"/>
    </row>
    <row r="103" spans="7:25" ht="15.75" customHeight="1">
      <c r="G103" s="51"/>
      <c r="H103" s="51"/>
      <c r="I103" s="51"/>
      <c r="J103" s="52"/>
      <c r="K103" s="52"/>
      <c r="L103" s="103"/>
      <c r="N103" s="244"/>
      <c r="O103" s="245"/>
      <c r="P103" s="245"/>
      <c r="Q103" s="245"/>
      <c r="R103" s="245"/>
      <c r="S103" s="246"/>
      <c r="U103" s="244"/>
      <c r="V103" s="245"/>
      <c r="W103" s="245"/>
      <c r="X103" s="245"/>
      <c r="Y103" s="246"/>
    </row>
    <row r="104" spans="7:25" ht="15.75" customHeight="1">
      <c r="G104" s="51"/>
      <c r="H104" s="51"/>
      <c r="I104" s="51"/>
      <c r="J104" s="52"/>
      <c r="K104" s="52"/>
      <c r="L104" s="103"/>
      <c r="N104" s="244"/>
      <c r="O104" s="245"/>
      <c r="P104" s="245"/>
      <c r="Q104" s="245"/>
      <c r="R104" s="245"/>
      <c r="S104" s="246"/>
      <c r="U104" s="244"/>
      <c r="V104" s="245"/>
      <c r="W104" s="245"/>
      <c r="X104" s="245"/>
      <c r="Y104" s="24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4"/>
      <c r="N105" s="244"/>
      <c r="O105" s="245"/>
      <c r="P105" s="245"/>
      <c r="Q105" s="245"/>
      <c r="R105" s="245"/>
      <c r="S105" s="246"/>
      <c r="U105" s="244"/>
      <c r="V105" s="245"/>
      <c r="W105" s="245"/>
      <c r="X105" s="245"/>
      <c r="Y105" s="246"/>
    </row>
    <row r="106" spans="7:25" ht="15.75" customHeight="1">
      <c r="N106" s="247"/>
      <c r="O106" s="248"/>
      <c r="P106" s="248"/>
      <c r="Q106" s="248"/>
      <c r="R106" s="248"/>
      <c r="S106" s="249"/>
      <c r="U106" s="247"/>
      <c r="V106" s="248"/>
      <c r="W106" s="248"/>
      <c r="X106" s="248"/>
      <c r="Y106" s="249"/>
    </row>
    <row r="108" spans="7:25" ht="15.75" customHeight="1">
      <c r="G108" s="251" t="s">
        <v>31</v>
      </c>
      <c r="H108" s="251"/>
      <c r="I108" s="251"/>
      <c r="J108" s="251"/>
    </row>
    <row r="109" spans="7:25" ht="15.75" customHeight="1">
      <c r="G109" s="76" t="s">
        <v>0</v>
      </c>
      <c r="H109" s="76" t="s">
        <v>9</v>
      </c>
      <c r="I109" s="76"/>
      <c r="J109" s="76" t="s">
        <v>8</v>
      </c>
    </row>
    <row r="110" spans="7:25" ht="15.75" customHeight="1">
      <c r="G110" s="76">
        <v>1</v>
      </c>
      <c r="H110" s="76" t="s">
        <v>1</v>
      </c>
      <c r="I110" s="76"/>
      <c r="J110" s="45">
        <f>850000-H63-J63</f>
        <v>719100</v>
      </c>
    </row>
    <row r="111" spans="7:25" ht="15.75" customHeight="1">
      <c r="G111" s="76">
        <v>2</v>
      </c>
      <c r="H111" s="76" t="s">
        <v>2</v>
      </c>
      <c r="I111" s="76"/>
      <c r="J111" s="45">
        <v>800000</v>
      </c>
    </row>
    <row r="112" spans="7:25" ht="15.75" customHeight="1">
      <c r="G112" s="76">
        <v>3</v>
      </c>
      <c r="H112" s="76" t="s">
        <v>3</v>
      </c>
      <c r="I112" s="76"/>
      <c r="J112" s="45">
        <v>850000</v>
      </c>
    </row>
    <row r="113" spans="7:12" ht="15.75" customHeight="1">
      <c r="G113" s="76">
        <v>4</v>
      </c>
      <c r="H113" s="76" t="s">
        <v>4</v>
      </c>
      <c r="I113" s="76"/>
      <c r="J113" s="45">
        <v>1000000</v>
      </c>
    </row>
    <row r="114" spans="7:12" ht="15.75" customHeight="1">
      <c r="G114" s="76">
        <v>5</v>
      </c>
      <c r="H114" s="76" t="s">
        <v>5</v>
      </c>
      <c r="I114" s="76"/>
      <c r="J114" s="45">
        <v>500000</v>
      </c>
    </row>
    <row r="115" spans="7:12" ht="15.75" customHeight="1">
      <c r="G115" s="76">
        <v>6</v>
      </c>
      <c r="H115" s="76" t="s">
        <v>6</v>
      </c>
      <c r="I115" s="76"/>
      <c r="J115" s="45">
        <v>100000</v>
      </c>
    </row>
    <row r="116" spans="7:12" ht="15.75" customHeight="1">
      <c r="G116" s="76">
        <v>7</v>
      </c>
      <c r="H116" s="76" t="s">
        <v>7</v>
      </c>
      <c r="I116" s="76"/>
      <c r="J116" s="45">
        <v>100000</v>
      </c>
    </row>
    <row r="117" spans="7:12" ht="15.75" customHeight="1">
      <c r="G117" s="76">
        <v>8</v>
      </c>
      <c r="H117" s="76" t="s">
        <v>32</v>
      </c>
      <c r="I117" s="76"/>
      <c r="J117" s="45"/>
    </row>
    <row r="118" spans="7:12" ht="15.75" customHeight="1">
      <c r="G118" s="76">
        <v>9</v>
      </c>
      <c r="H118" s="76" t="s">
        <v>33</v>
      </c>
      <c r="I118" s="76"/>
      <c r="J118" s="45"/>
    </row>
    <row r="119" spans="7:12" ht="15.75" customHeight="1">
      <c r="G119" s="76">
        <v>10</v>
      </c>
      <c r="H119" s="76" t="s">
        <v>34</v>
      </c>
      <c r="I119" s="76"/>
      <c r="J119" s="45"/>
    </row>
    <row r="120" spans="7:12" ht="15.75" customHeight="1">
      <c r="G120" s="76">
        <v>11</v>
      </c>
      <c r="H120" s="76" t="s">
        <v>35</v>
      </c>
      <c r="I120" s="76"/>
      <c r="J120" s="45"/>
    </row>
    <row r="121" spans="7:12" ht="15.75" customHeight="1">
      <c r="G121" s="76">
        <v>12</v>
      </c>
      <c r="H121" s="76" t="s">
        <v>12</v>
      </c>
      <c r="I121" s="76"/>
      <c r="J121" s="45">
        <f>K105</f>
        <v>3000000</v>
      </c>
    </row>
    <row r="122" spans="7:12" ht="15.75" customHeight="1">
      <c r="G122" s="46"/>
      <c r="H122" s="47" t="s">
        <v>10</v>
      </c>
      <c r="I122" s="47"/>
      <c r="J122" s="48">
        <f>SUM(J110:J121)</f>
        <v>7069100</v>
      </c>
    </row>
    <row r="125" spans="7:12" ht="15.75" customHeight="1">
      <c r="J125" s="55"/>
      <c r="K125" s="55"/>
      <c r="L125" s="55"/>
    </row>
  </sheetData>
  <mergeCells count="30">
    <mergeCell ref="U99:Y106"/>
    <mergeCell ref="U86:Y87"/>
    <mergeCell ref="N88:S95"/>
    <mergeCell ref="U88:Y95"/>
    <mergeCell ref="G97:K97"/>
    <mergeCell ref="N97:S98"/>
    <mergeCell ref="U97:Y98"/>
    <mergeCell ref="B4:C5"/>
    <mergeCell ref="K7:L7"/>
    <mergeCell ref="O8:P8"/>
    <mergeCell ref="O12:P12"/>
    <mergeCell ref="G108:J108"/>
    <mergeCell ref="H61:S61"/>
    <mergeCell ref="G86:J86"/>
    <mergeCell ref="N86:S87"/>
    <mergeCell ref="N99:S106"/>
    <mergeCell ref="R8:S8"/>
    <mergeCell ref="O24:P24"/>
    <mergeCell ref="U8:V8"/>
    <mergeCell ref="F18:G18"/>
    <mergeCell ref="F7:G7"/>
    <mergeCell ref="E2:P2"/>
    <mergeCell ref="O20:P20"/>
    <mergeCell ref="R20:S20"/>
    <mergeCell ref="U20:V20"/>
    <mergeCell ref="R12:S12"/>
    <mergeCell ref="U12:V12"/>
    <mergeCell ref="O16:P16"/>
    <mergeCell ref="R16:S16"/>
    <mergeCell ref="U16:V1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200-000000000000}"/>
  </hyperlink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mandButton1">
          <controlPr defaultSize="0" autoLine="0" r:id="rId5">
            <anchor moveWithCells="1">
              <from>
                <xdr:col>5</xdr:col>
                <xdr:colOff>12700</xdr:colOff>
                <xdr:row>12</xdr:row>
                <xdr:rowOff>69850</xdr:rowOff>
              </from>
              <to>
                <xdr:col>7</xdr:col>
                <xdr:colOff>6350</xdr:colOff>
                <xdr:row>14</xdr:row>
                <xdr:rowOff>25400</xdr:rowOff>
              </to>
            </anchor>
          </controlPr>
        </control>
      </mc:Choice>
      <mc:Fallback>
        <control shapeId="5122" r:id="rId4" name="CommandButton1"/>
      </mc:Fallback>
    </mc:AlternateContent>
    <mc:AlternateContent xmlns:mc="http://schemas.openxmlformats.org/markup-compatibility/2006">
      <mc:Choice Requires="x14">
        <control shapeId="5129" r:id="rId6" name="CommandButton2">
          <controlPr defaultSize="0" autoLine="0" r:id="rId7">
            <anchor moveWithCells="1">
              <from>
                <xdr:col>10</xdr:col>
                <xdr:colOff>19050</xdr:colOff>
                <xdr:row>13</xdr:row>
                <xdr:rowOff>88900</xdr:rowOff>
              </from>
              <to>
                <xdr:col>12</xdr:col>
                <xdr:colOff>19050</xdr:colOff>
                <xdr:row>15</xdr:row>
                <xdr:rowOff>82550</xdr:rowOff>
              </to>
            </anchor>
          </controlPr>
        </control>
      </mc:Choice>
      <mc:Fallback>
        <control shapeId="5129" r:id="rId6" name="CommandButton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200-000000000000}">
          <x14:formula1>
            <xm:f>PENGATURAN!$B$21:$B$27</xm:f>
          </x14:formula1>
          <xm:sqref>G22</xm:sqref>
        </x14:dataValidation>
        <x14:dataValidation type="list" allowBlank="1" showInputMessage="1" showErrorMessage="1" xr:uid="{00000000-0002-0000-0200-000001000000}">
          <x14:formula1>
            <xm:f>PENGATURAN!$B$21:$B$32</xm:f>
          </x14:formula1>
          <xm:sqref>G11:G12 L11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outlinePr summaryBelow="0" summaryRight="0"/>
  </sheetPr>
  <dimension ref="A1:AB125"/>
  <sheetViews>
    <sheetView topLeftCell="A18" zoomScale="25" zoomScaleNormal="25" workbookViewId="0">
      <selection activeCell="Q52" sqref="Q52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3.453125" style="41" customWidth="1"/>
    <col min="8" max="8" width="28.54296875" style="41" customWidth="1"/>
    <col min="9" max="10" width="23" style="41" customWidth="1"/>
    <col min="11" max="11" width="31.453125" style="41" customWidth="1"/>
    <col min="12" max="12" width="3.81640625" style="41" customWidth="1"/>
    <col min="13" max="13" width="7.453125" style="41" customWidth="1"/>
    <col min="14" max="14" width="23.81640625" style="41" customWidth="1"/>
    <col min="15" max="15" width="2.81640625" style="41" customWidth="1"/>
    <col min="16" max="16" width="6.453125" style="41" customWidth="1"/>
    <col min="17" max="17" width="25.453125" style="41" customWidth="1"/>
    <col min="18" max="18" width="3.54296875" style="41" customWidth="1"/>
    <col min="19" max="22" width="12.54296875" style="41"/>
    <col min="23" max="23" width="12.54296875" style="41" customWidth="1"/>
    <col min="24" max="24" width="23.7265625" style="41" customWidth="1"/>
    <col min="25" max="16384" width="12.54296875" style="41"/>
  </cols>
  <sheetData>
    <row r="1" spans="1:28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9"/>
      <c r="R1" s="75"/>
      <c r="S1" s="154"/>
      <c r="T1" s="154"/>
      <c r="U1" s="154"/>
      <c r="V1" s="154"/>
      <c r="W1" s="154"/>
      <c r="X1" s="154"/>
      <c r="Y1" s="154"/>
      <c r="Z1" s="154"/>
      <c r="AA1" s="154"/>
      <c r="AB1" s="79"/>
    </row>
    <row r="2" spans="1:28" ht="19.5" customHeight="1">
      <c r="A2" s="96"/>
      <c r="B2" s="96"/>
      <c r="C2" s="96" t="s">
        <v>71</v>
      </c>
      <c r="D2" s="78"/>
      <c r="E2" s="230" t="s">
        <v>97</v>
      </c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230"/>
      <c r="R2" s="157"/>
      <c r="S2" s="154"/>
      <c r="T2" s="154"/>
      <c r="U2" s="154"/>
      <c r="V2" s="154"/>
      <c r="W2" s="154"/>
      <c r="X2" s="154"/>
      <c r="Y2" s="154"/>
      <c r="Z2" s="154"/>
      <c r="AA2" s="154"/>
      <c r="AB2" s="79"/>
    </row>
    <row r="3" spans="1:28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57"/>
      <c r="S3" s="154"/>
      <c r="T3" s="154"/>
      <c r="U3" s="154"/>
      <c r="V3" s="154"/>
      <c r="W3" s="154"/>
      <c r="X3" s="154"/>
      <c r="Y3" s="154"/>
      <c r="Z3" s="154"/>
      <c r="AA3" s="154"/>
      <c r="AB3" s="79"/>
    </row>
    <row r="4" spans="1:28" ht="16" customHeight="1">
      <c r="A4" s="62"/>
      <c r="B4" s="231" t="s">
        <v>72</v>
      </c>
      <c r="C4" s="231"/>
      <c r="D4" s="78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05"/>
      <c r="R4" s="157"/>
      <c r="S4" s="154"/>
      <c r="T4" s="154"/>
      <c r="U4" s="154"/>
      <c r="V4" s="154"/>
      <c r="W4" s="154"/>
      <c r="X4" s="154"/>
      <c r="Y4" s="154"/>
      <c r="Z4" s="154"/>
      <c r="AA4" s="154"/>
      <c r="AB4" s="79"/>
    </row>
    <row r="5" spans="1:28" ht="15.75" customHeight="1">
      <c r="A5" s="62"/>
      <c r="B5" s="231"/>
      <c r="C5" s="231"/>
      <c r="D5" s="78"/>
      <c r="E5" s="78"/>
      <c r="F5" s="78"/>
      <c r="G5" s="78"/>
      <c r="H5" s="154"/>
      <c r="I5" s="154"/>
      <c r="J5" s="172"/>
      <c r="K5" s="78"/>
      <c r="L5" s="78"/>
      <c r="M5" s="78"/>
      <c r="N5" s="78"/>
      <c r="O5" s="78"/>
      <c r="P5" s="78"/>
      <c r="Q5" s="78"/>
      <c r="R5" s="112"/>
      <c r="S5" s="78"/>
      <c r="T5" s="78"/>
      <c r="U5" s="78"/>
      <c r="V5" s="78"/>
      <c r="W5" s="78"/>
      <c r="X5" s="78"/>
      <c r="Y5" s="78"/>
      <c r="Z5" s="78"/>
      <c r="AA5" s="78"/>
      <c r="AB5" s="79"/>
    </row>
    <row r="6" spans="1:28" ht="25" customHeight="1">
      <c r="A6" s="62"/>
      <c r="B6" s="97"/>
      <c r="C6" s="99" t="s">
        <v>37</v>
      </c>
      <c r="D6" s="79"/>
      <c r="E6" s="120"/>
      <c r="F6" s="159"/>
      <c r="G6" s="124"/>
      <c r="H6" s="158"/>
      <c r="I6" s="158"/>
      <c r="J6" s="158"/>
      <c r="K6" s="232"/>
      <c r="L6" s="280"/>
      <c r="M6" s="280"/>
      <c r="N6" s="280"/>
      <c r="O6" s="232"/>
      <c r="P6" s="232"/>
      <c r="Q6" s="280"/>
      <c r="R6" s="281"/>
      <c r="S6" s="268"/>
      <c r="T6" s="269"/>
      <c r="U6" s="269"/>
      <c r="V6" s="270"/>
      <c r="W6" s="269"/>
      <c r="X6" s="269"/>
      <c r="Y6" s="268"/>
      <c r="Z6" s="269"/>
      <c r="AA6" s="82"/>
      <c r="AB6" s="79"/>
    </row>
    <row r="7" spans="1:28" ht="19" customHeight="1">
      <c r="A7" s="62"/>
      <c r="B7" s="62"/>
      <c r="C7" s="98" t="s">
        <v>38</v>
      </c>
      <c r="D7" s="80"/>
      <c r="E7" s="119"/>
      <c r="F7" s="234" t="s">
        <v>42</v>
      </c>
      <c r="G7" s="235"/>
      <c r="H7" s="235"/>
      <c r="I7" s="235"/>
      <c r="J7" s="235"/>
      <c r="K7" s="236"/>
      <c r="L7" s="157"/>
      <c r="M7" s="265" t="s">
        <v>66</v>
      </c>
      <c r="N7" s="265"/>
      <c r="O7" s="42"/>
      <c r="P7" s="253">
        <v>2026</v>
      </c>
      <c r="Q7" s="253"/>
      <c r="R7" s="75"/>
      <c r="X7" s="154"/>
      <c r="Y7" s="154"/>
      <c r="Z7" s="154"/>
      <c r="AA7" s="154"/>
      <c r="AB7" s="79"/>
    </row>
    <row r="8" spans="1:28" ht="20.149999999999999" customHeight="1">
      <c r="A8" s="62"/>
      <c r="B8" s="62"/>
      <c r="C8" s="98" t="s">
        <v>39</v>
      </c>
      <c r="D8" s="80"/>
      <c r="E8" s="127"/>
      <c r="F8" s="143" t="s">
        <v>84</v>
      </c>
      <c r="G8" s="123" t="s">
        <v>85</v>
      </c>
      <c r="H8" s="123" t="s">
        <v>86</v>
      </c>
      <c r="I8" s="123" t="s">
        <v>94</v>
      </c>
      <c r="J8" s="123" t="s">
        <v>88</v>
      </c>
      <c r="K8" s="144" t="s">
        <v>99</v>
      </c>
      <c r="L8" s="157"/>
      <c r="M8" s="175"/>
      <c r="N8" s="175"/>
      <c r="O8" s="175"/>
      <c r="P8" s="175"/>
      <c r="Q8" s="175"/>
      <c r="R8" s="128"/>
      <c r="S8" s="154"/>
      <c r="T8" s="154"/>
      <c r="U8" s="154"/>
      <c r="V8" s="154"/>
      <c r="W8" s="154"/>
      <c r="X8" s="154"/>
      <c r="Y8" s="154"/>
      <c r="Z8" s="154"/>
      <c r="AA8" s="154"/>
      <c r="AB8" s="79"/>
    </row>
    <row r="9" spans="1:28" ht="20.149999999999999" customHeight="1">
      <c r="A9" s="62"/>
      <c r="B9" s="62"/>
      <c r="C9" s="98" t="s">
        <v>40</v>
      </c>
      <c r="D9" s="80"/>
      <c r="E9" s="127"/>
      <c r="F9" s="182"/>
      <c r="G9" s="163"/>
      <c r="H9" s="183"/>
      <c r="I9" s="163"/>
      <c r="J9" s="176"/>
      <c r="K9" s="184"/>
      <c r="L9" s="157"/>
      <c r="M9" s="182"/>
      <c r="N9" s="163"/>
      <c r="O9" s="183"/>
      <c r="P9" s="163"/>
      <c r="Q9" s="176"/>
      <c r="R9" s="184"/>
      <c r="S9" s="154"/>
      <c r="T9" s="154"/>
      <c r="U9" s="154"/>
      <c r="V9" s="154"/>
      <c r="W9" s="154"/>
      <c r="X9" s="154"/>
      <c r="Y9" s="154"/>
      <c r="Z9" s="154"/>
      <c r="AA9" s="154"/>
      <c r="AB9" s="79"/>
    </row>
    <row r="10" spans="1:28" ht="20.149999999999999" customHeight="1">
      <c r="A10" s="62"/>
      <c r="B10" s="62"/>
      <c r="C10" s="99" t="s">
        <v>41</v>
      </c>
      <c r="D10" s="79"/>
      <c r="E10" s="119"/>
      <c r="F10" s="182"/>
      <c r="G10" s="181"/>
      <c r="H10" s="183"/>
      <c r="I10" s="181"/>
      <c r="J10" s="185"/>
      <c r="K10" s="184"/>
      <c r="L10" s="157"/>
      <c r="M10" s="182"/>
      <c r="N10" s="186"/>
      <c r="O10" s="183"/>
      <c r="P10" s="186"/>
      <c r="Q10" s="187"/>
      <c r="R10" s="184"/>
      <c r="S10" s="79"/>
      <c r="T10" s="79"/>
      <c r="U10" s="79"/>
      <c r="V10" s="79"/>
      <c r="W10" s="79"/>
      <c r="X10" s="79"/>
      <c r="Y10" s="79"/>
      <c r="Z10" s="79"/>
      <c r="AA10" s="79"/>
      <c r="AB10" s="79"/>
    </row>
    <row r="11" spans="1:28" ht="25" customHeight="1">
      <c r="A11" s="62"/>
      <c r="B11" s="62"/>
      <c r="C11" s="99" t="s">
        <v>42</v>
      </c>
      <c r="D11" s="79"/>
      <c r="E11" s="119"/>
      <c r="F11" s="182"/>
      <c r="G11" s="163"/>
      <c r="H11" s="183"/>
      <c r="I11" s="163"/>
      <c r="J11" s="176"/>
      <c r="K11" s="184"/>
      <c r="L11" s="157"/>
      <c r="M11" s="182"/>
      <c r="N11" s="163"/>
      <c r="O11" s="183"/>
      <c r="P11" s="163"/>
      <c r="Q11" s="176"/>
      <c r="R11" s="184"/>
      <c r="S11" s="79"/>
      <c r="T11" s="79"/>
      <c r="U11" s="79"/>
      <c r="V11" s="79"/>
      <c r="W11" s="79"/>
      <c r="X11" s="79"/>
      <c r="Y11" s="79"/>
      <c r="Z11" s="79"/>
      <c r="AA11" s="79"/>
      <c r="AB11" s="79"/>
    </row>
    <row r="12" spans="1:28" ht="26.15" customHeight="1">
      <c r="A12" s="62"/>
      <c r="B12" s="62"/>
      <c r="C12" s="99" t="s">
        <v>73</v>
      </c>
      <c r="D12" s="79"/>
      <c r="E12" s="119"/>
      <c r="F12" s="182"/>
      <c r="G12" s="186"/>
      <c r="H12" s="183"/>
      <c r="I12" s="186"/>
      <c r="J12" s="187"/>
      <c r="K12" s="184"/>
      <c r="L12" s="157"/>
      <c r="M12" s="182"/>
      <c r="N12" s="181"/>
      <c r="O12" s="183"/>
      <c r="P12" s="181"/>
      <c r="Q12" s="185"/>
      <c r="R12" s="184"/>
      <c r="S12" s="79"/>
      <c r="T12" s="79"/>
      <c r="U12" s="79"/>
      <c r="V12" s="79"/>
      <c r="W12" s="79"/>
      <c r="X12" s="79"/>
      <c r="Y12" s="79"/>
      <c r="Z12" s="79"/>
      <c r="AA12" s="79"/>
      <c r="AB12" s="79"/>
    </row>
    <row r="13" spans="1:28" ht="28.5" customHeight="1">
      <c r="A13" s="62"/>
      <c r="B13" s="62"/>
      <c r="C13" s="99" t="s">
        <v>74</v>
      </c>
      <c r="D13" s="79"/>
      <c r="E13" s="119"/>
      <c r="F13" s="182"/>
      <c r="G13" s="163"/>
      <c r="H13" s="183"/>
      <c r="I13" s="163"/>
      <c r="J13" s="176"/>
      <c r="K13" s="184"/>
      <c r="L13" s="157"/>
      <c r="M13" s="157"/>
      <c r="N13" s="157"/>
      <c r="O13" s="157"/>
      <c r="P13" s="157"/>
      <c r="Q13" s="157"/>
      <c r="R13" s="128"/>
      <c r="S13" s="79"/>
      <c r="T13" s="79"/>
      <c r="U13" s="79"/>
      <c r="V13" s="79"/>
      <c r="W13" s="79"/>
      <c r="X13" s="79"/>
      <c r="Y13" s="79"/>
      <c r="Z13" s="79"/>
      <c r="AA13" s="79"/>
      <c r="AB13" s="79"/>
    </row>
    <row r="14" spans="1:28" ht="15.75" customHeight="1">
      <c r="A14" s="62"/>
      <c r="B14" s="62"/>
      <c r="C14" s="62"/>
      <c r="D14" s="79"/>
      <c r="E14" s="119"/>
      <c r="F14" s="182"/>
      <c r="G14" s="181"/>
      <c r="H14" s="183"/>
      <c r="I14" s="181"/>
      <c r="J14" s="185"/>
      <c r="K14" s="184"/>
      <c r="L14" s="157"/>
      <c r="M14" s="157"/>
      <c r="N14" s="157"/>
      <c r="O14" s="157"/>
      <c r="P14" s="157"/>
      <c r="Q14" s="157"/>
      <c r="R14" s="128"/>
      <c r="S14" s="154"/>
      <c r="T14" s="79"/>
      <c r="U14" s="79"/>
      <c r="V14" s="79"/>
      <c r="W14" s="79"/>
      <c r="X14" s="79"/>
      <c r="Y14" s="79"/>
      <c r="Z14" s="79"/>
      <c r="AA14" s="79"/>
      <c r="AB14" s="79"/>
    </row>
    <row r="15" spans="1:28" ht="15.75" customHeight="1">
      <c r="A15" s="62"/>
      <c r="B15" s="62"/>
      <c r="C15" s="62"/>
      <c r="D15" s="79"/>
      <c r="E15" s="119"/>
      <c r="F15" s="182"/>
      <c r="G15" s="163"/>
      <c r="H15" s="183"/>
      <c r="I15" s="163"/>
      <c r="J15" s="176"/>
      <c r="K15" s="184"/>
      <c r="L15" s="157"/>
      <c r="M15" s="157"/>
      <c r="N15" s="157"/>
      <c r="O15" s="157"/>
      <c r="P15" s="157"/>
      <c r="Q15" s="157"/>
      <c r="R15" s="128"/>
      <c r="S15" s="154"/>
      <c r="T15" s="79"/>
      <c r="U15" s="79"/>
      <c r="V15" s="79"/>
      <c r="W15" s="79"/>
      <c r="X15" s="79"/>
      <c r="Y15" s="79"/>
      <c r="Z15" s="79"/>
      <c r="AA15" s="79"/>
      <c r="AB15" s="79"/>
    </row>
    <row r="16" spans="1:28" ht="15.75" customHeight="1">
      <c r="A16" s="62"/>
      <c r="B16" s="62"/>
      <c r="C16" s="62"/>
      <c r="D16" s="79" t="s">
        <v>52</v>
      </c>
      <c r="E16" s="119"/>
      <c r="F16" s="182"/>
      <c r="G16" s="186"/>
      <c r="H16" s="183"/>
      <c r="I16" s="186"/>
      <c r="J16" s="187"/>
      <c r="K16" s="184"/>
      <c r="L16" s="157"/>
      <c r="M16" s="157"/>
      <c r="N16" s="157"/>
      <c r="O16" s="157"/>
      <c r="P16" s="157"/>
      <c r="Q16" s="157"/>
      <c r="R16" s="128"/>
      <c r="S16" s="79"/>
      <c r="T16" s="79"/>
      <c r="U16" s="79"/>
      <c r="V16" s="79"/>
      <c r="W16" s="79"/>
      <c r="X16" s="79"/>
      <c r="Y16" s="79"/>
      <c r="Z16" s="79"/>
      <c r="AA16" s="79"/>
      <c r="AB16" s="79"/>
    </row>
    <row r="17" spans="1:28" ht="15.75" customHeight="1">
      <c r="A17" s="62"/>
      <c r="B17" s="62"/>
      <c r="C17" s="62"/>
      <c r="D17" s="79"/>
      <c r="E17" s="119"/>
      <c r="F17" s="182"/>
      <c r="G17" s="163"/>
      <c r="H17" s="183"/>
      <c r="I17" s="163"/>
      <c r="J17" s="176"/>
      <c r="K17" s="184"/>
      <c r="L17" s="157"/>
      <c r="M17" s="157"/>
      <c r="N17" s="157"/>
      <c r="O17" s="157"/>
      <c r="P17" s="157"/>
      <c r="Q17" s="157"/>
      <c r="R17" s="128"/>
      <c r="S17" s="79"/>
      <c r="T17" s="79"/>
      <c r="U17" s="79"/>
      <c r="V17" s="79"/>
      <c r="W17" s="79"/>
      <c r="X17" s="79"/>
      <c r="Y17" s="79"/>
      <c r="Z17" s="79"/>
      <c r="AA17" s="79"/>
      <c r="AB17" s="79"/>
    </row>
    <row r="18" spans="1:28" ht="15.75" customHeight="1">
      <c r="A18" s="62"/>
      <c r="B18" s="62"/>
      <c r="C18" s="62"/>
      <c r="D18" s="79"/>
      <c r="E18" s="119"/>
      <c r="F18" s="182"/>
      <c r="G18" s="181"/>
      <c r="H18" s="183"/>
      <c r="I18" s="181"/>
      <c r="J18" s="185"/>
      <c r="K18" s="184"/>
      <c r="L18" s="157"/>
      <c r="M18" s="157"/>
      <c r="N18" s="157"/>
      <c r="O18" s="157"/>
      <c r="P18" s="157"/>
      <c r="Q18" s="157"/>
      <c r="R18" s="128"/>
      <c r="S18" s="79"/>
      <c r="T18" s="79"/>
      <c r="U18" s="79"/>
      <c r="V18" s="79"/>
      <c r="W18" s="79"/>
      <c r="X18" s="79"/>
      <c r="Y18" s="79"/>
      <c r="Z18" s="79"/>
      <c r="AA18" s="79"/>
      <c r="AB18" s="79"/>
    </row>
    <row r="19" spans="1:28" ht="15.75" customHeight="1">
      <c r="A19" s="62"/>
      <c r="B19" s="62"/>
      <c r="C19" s="62"/>
      <c r="D19" s="79"/>
      <c r="E19" s="119"/>
      <c r="F19" s="182"/>
      <c r="G19" s="163"/>
      <c r="H19" s="183"/>
      <c r="I19" s="163"/>
      <c r="J19" s="176"/>
      <c r="K19" s="184"/>
      <c r="L19" s="157"/>
      <c r="M19" s="157"/>
      <c r="N19" s="157"/>
      <c r="O19" s="157"/>
      <c r="P19" s="157"/>
      <c r="Q19" s="157"/>
      <c r="R19" s="128"/>
      <c r="S19" s="79"/>
      <c r="T19" s="79"/>
      <c r="U19" s="79"/>
      <c r="V19" s="79"/>
      <c r="W19" s="79"/>
      <c r="X19" s="79"/>
      <c r="Y19" s="79"/>
      <c r="Z19" s="79"/>
      <c r="AA19" s="79"/>
      <c r="AB19" s="79"/>
    </row>
    <row r="20" spans="1:28" ht="15.75" customHeight="1">
      <c r="A20" s="62"/>
      <c r="B20" s="62"/>
      <c r="C20" s="62"/>
      <c r="D20" s="79"/>
      <c r="E20" s="119"/>
      <c r="F20" s="182"/>
      <c r="G20" s="186"/>
      <c r="H20" s="183"/>
      <c r="I20" s="186"/>
      <c r="J20" s="187"/>
      <c r="K20" s="184"/>
      <c r="L20" s="157"/>
      <c r="M20" s="157"/>
      <c r="N20" s="157"/>
      <c r="O20" s="157"/>
      <c r="P20" s="157"/>
      <c r="Q20" s="157"/>
      <c r="R20" s="128"/>
      <c r="S20" s="79"/>
      <c r="T20" s="79"/>
      <c r="U20" s="79"/>
      <c r="V20" s="79"/>
      <c r="W20" s="79"/>
      <c r="X20" s="79"/>
      <c r="Y20" s="79"/>
      <c r="Z20" s="79"/>
      <c r="AA20" s="79"/>
      <c r="AB20" s="79"/>
    </row>
    <row r="21" spans="1:28" ht="15.75" customHeight="1">
      <c r="A21" s="62"/>
      <c r="B21" s="62"/>
      <c r="C21" s="62"/>
      <c r="D21" s="79"/>
      <c r="E21" s="119"/>
      <c r="F21" s="182"/>
      <c r="G21" s="163"/>
      <c r="H21" s="183"/>
      <c r="I21" s="163"/>
      <c r="J21" s="176"/>
      <c r="K21" s="184"/>
      <c r="L21" s="157"/>
      <c r="M21" s="157"/>
      <c r="N21" s="157"/>
      <c r="O21" s="157"/>
      <c r="P21" s="157"/>
      <c r="Q21" s="157"/>
      <c r="R21" s="128"/>
      <c r="S21" s="79"/>
      <c r="T21" s="79"/>
      <c r="U21" s="79"/>
      <c r="V21" s="79"/>
      <c r="W21" s="79"/>
      <c r="X21" s="79"/>
      <c r="Y21" s="79"/>
      <c r="Z21" s="79"/>
      <c r="AA21" s="79"/>
      <c r="AB21" s="79"/>
    </row>
    <row r="22" spans="1:28" ht="15.75" customHeight="1">
      <c r="A22" s="62"/>
      <c r="B22" s="62"/>
      <c r="C22" s="62"/>
      <c r="D22" s="79"/>
      <c r="E22" s="119"/>
      <c r="F22" s="182"/>
      <c r="G22" s="181"/>
      <c r="H22" s="183"/>
      <c r="I22" s="181"/>
      <c r="J22" s="185"/>
      <c r="K22" s="184"/>
      <c r="L22" s="157"/>
      <c r="M22" s="157"/>
      <c r="N22" s="157"/>
      <c r="O22" s="157"/>
      <c r="P22" s="157"/>
      <c r="Q22" s="157"/>
      <c r="R22" s="128"/>
      <c r="S22" s="79"/>
      <c r="T22" s="79"/>
      <c r="U22" s="79"/>
      <c r="V22" s="79"/>
      <c r="W22" s="79"/>
      <c r="X22" s="79"/>
      <c r="Y22" s="79"/>
      <c r="Z22" s="79"/>
      <c r="AA22" s="79"/>
      <c r="AB22" s="79"/>
    </row>
    <row r="23" spans="1:28" ht="15.75" customHeight="1">
      <c r="A23" s="62"/>
      <c r="B23" s="62"/>
      <c r="C23" s="62"/>
      <c r="D23" s="79"/>
      <c r="E23" s="119"/>
      <c r="F23" s="182"/>
      <c r="G23" s="163"/>
      <c r="H23" s="183"/>
      <c r="I23" s="163"/>
      <c r="J23" s="176"/>
      <c r="K23" s="184"/>
      <c r="L23" s="157"/>
      <c r="M23" s="157"/>
      <c r="N23" s="157"/>
      <c r="O23" s="157"/>
      <c r="P23" s="157"/>
      <c r="Q23" s="157"/>
      <c r="R23" s="128"/>
      <c r="S23" s="79"/>
      <c r="T23" s="79"/>
      <c r="U23" s="79"/>
      <c r="V23" s="79"/>
      <c r="W23" s="79"/>
      <c r="X23" s="79"/>
      <c r="Y23" s="79"/>
      <c r="Z23" s="79"/>
      <c r="AA23" s="79"/>
      <c r="AB23" s="79"/>
    </row>
    <row r="24" spans="1:28" ht="15.75" customHeight="1">
      <c r="A24" s="62"/>
      <c r="B24" s="62"/>
      <c r="C24" s="62"/>
      <c r="D24" s="79"/>
      <c r="E24" s="119"/>
      <c r="F24" s="182"/>
      <c r="G24" s="186"/>
      <c r="H24" s="183"/>
      <c r="I24" s="186"/>
      <c r="J24" s="187"/>
      <c r="K24" s="184"/>
      <c r="L24" s="157"/>
      <c r="M24" s="157"/>
      <c r="N24" s="157"/>
      <c r="O24" s="157"/>
      <c r="P24" s="157"/>
      <c r="Q24" s="157"/>
      <c r="R24" s="128"/>
      <c r="S24" s="79"/>
      <c r="T24" s="79"/>
      <c r="U24" s="79"/>
      <c r="V24" s="79"/>
      <c r="W24" s="79"/>
      <c r="X24" s="79"/>
      <c r="Y24" s="79"/>
      <c r="Z24" s="79"/>
      <c r="AA24" s="79"/>
      <c r="AB24" s="79"/>
    </row>
    <row r="25" spans="1:28" ht="15.75" customHeight="1">
      <c r="A25" s="62"/>
      <c r="B25" s="62"/>
      <c r="C25" s="62"/>
      <c r="D25" s="79"/>
      <c r="E25" s="119"/>
      <c r="F25" s="182"/>
      <c r="G25" s="163"/>
      <c r="H25" s="183"/>
      <c r="I25" s="163"/>
      <c r="J25" s="176"/>
      <c r="K25" s="184"/>
      <c r="L25" s="157"/>
      <c r="M25" s="157"/>
      <c r="N25" s="157"/>
      <c r="O25" s="157"/>
      <c r="P25" s="157"/>
      <c r="Q25" s="157"/>
      <c r="R25" s="128"/>
      <c r="S25" s="79"/>
      <c r="T25" s="79"/>
      <c r="U25" s="79"/>
      <c r="V25" s="79"/>
      <c r="W25" s="79"/>
      <c r="X25" s="79"/>
      <c r="Y25" s="79"/>
      <c r="Z25" s="79"/>
      <c r="AA25" s="79"/>
      <c r="AB25" s="79"/>
    </row>
    <row r="26" spans="1:28" ht="15.75" customHeight="1">
      <c r="A26" s="62"/>
      <c r="B26" s="62"/>
      <c r="C26" s="62"/>
      <c r="D26" s="79"/>
      <c r="E26" s="119"/>
      <c r="F26" s="182"/>
      <c r="G26" s="181"/>
      <c r="H26" s="183"/>
      <c r="I26" s="181"/>
      <c r="J26" s="185"/>
      <c r="K26" s="184"/>
      <c r="L26" s="157"/>
      <c r="M26" s="157"/>
      <c r="N26" s="157"/>
      <c r="O26" s="157"/>
      <c r="P26" s="157"/>
      <c r="Q26" s="157"/>
      <c r="R26" s="128"/>
      <c r="S26" s="79"/>
      <c r="T26" s="79"/>
      <c r="U26" s="79"/>
      <c r="V26" s="79"/>
      <c r="W26" s="79"/>
      <c r="X26" s="79"/>
      <c r="Y26" s="79"/>
      <c r="Z26" s="79"/>
      <c r="AA26" s="79"/>
      <c r="AB26" s="79"/>
    </row>
    <row r="27" spans="1:28" ht="15.75" customHeight="1">
      <c r="A27" s="62"/>
      <c r="B27" s="62"/>
      <c r="C27" s="62"/>
      <c r="D27" s="79"/>
      <c r="E27" s="119"/>
      <c r="F27" s="182"/>
      <c r="G27" s="163"/>
      <c r="H27" s="183"/>
      <c r="I27" s="163"/>
      <c r="J27" s="176"/>
      <c r="K27" s="184"/>
      <c r="L27" s="157"/>
      <c r="M27" s="157"/>
      <c r="N27" s="157"/>
      <c r="O27" s="157"/>
      <c r="P27" s="157"/>
      <c r="Q27" s="157"/>
      <c r="R27" s="128"/>
      <c r="S27" s="79"/>
      <c r="T27" s="79"/>
      <c r="U27" s="79"/>
      <c r="V27" s="79"/>
      <c r="W27" s="79"/>
      <c r="X27" s="79"/>
      <c r="Y27" s="79"/>
      <c r="Z27" s="79"/>
      <c r="AA27" s="79"/>
      <c r="AB27" s="79"/>
    </row>
    <row r="28" spans="1:28" ht="15.75" customHeight="1">
      <c r="A28" s="62"/>
      <c r="B28" s="62"/>
      <c r="C28" s="62"/>
      <c r="D28" s="79"/>
      <c r="E28" s="119"/>
      <c r="F28" s="182"/>
      <c r="G28" s="186"/>
      <c r="H28" s="183"/>
      <c r="I28" s="186"/>
      <c r="J28" s="187"/>
      <c r="K28" s="184"/>
      <c r="L28" s="157"/>
      <c r="M28" s="157"/>
      <c r="N28" s="157"/>
      <c r="O28" s="157"/>
      <c r="P28" s="157"/>
      <c r="Q28" s="157"/>
      <c r="R28" s="128"/>
      <c r="S28" s="79"/>
      <c r="T28" s="79"/>
      <c r="U28" s="79"/>
      <c r="V28" s="79"/>
      <c r="W28" s="79"/>
      <c r="X28" s="79"/>
      <c r="Y28" s="79"/>
      <c r="Z28" s="79"/>
      <c r="AA28" s="79"/>
      <c r="AB28" s="79"/>
    </row>
    <row r="29" spans="1:28" ht="15.75" customHeight="1">
      <c r="A29" s="62"/>
      <c r="B29" s="62"/>
      <c r="C29" s="62"/>
      <c r="D29" s="79"/>
      <c r="E29" s="119"/>
      <c r="F29" s="182"/>
      <c r="G29" s="163"/>
      <c r="H29" s="183"/>
      <c r="I29" s="163"/>
      <c r="J29" s="176"/>
      <c r="K29" s="184"/>
      <c r="L29" s="157"/>
      <c r="M29" s="157"/>
      <c r="N29" s="157"/>
      <c r="O29" s="157"/>
      <c r="P29" s="157"/>
      <c r="Q29" s="157"/>
      <c r="R29" s="128"/>
      <c r="S29" s="79"/>
      <c r="T29" s="79"/>
      <c r="U29" s="79"/>
      <c r="V29" s="79"/>
      <c r="W29" s="79"/>
      <c r="X29" s="79"/>
      <c r="Y29" s="79"/>
      <c r="Z29" s="79"/>
      <c r="AA29" s="79"/>
      <c r="AB29" s="79"/>
    </row>
    <row r="30" spans="1:28" ht="15.75" customHeight="1">
      <c r="A30" s="62"/>
      <c r="B30" s="62"/>
      <c r="C30" s="62"/>
      <c r="D30" s="79"/>
      <c r="E30" s="119"/>
      <c r="F30" s="182"/>
      <c r="G30" s="181"/>
      <c r="H30" s="183"/>
      <c r="I30" s="181"/>
      <c r="J30" s="185"/>
      <c r="K30" s="184"/>
      <c r="L30" s="157"/>
      <c r="M30" s="157"/>
      <c r="N30" s="157"/>
      <c r="O30" s="157"/>
      <c r="P30" s="157"/>
      <c r="Q30" s="157"/>
      <c r="R30" s="128"/>
      <c r="S30" s="79"/>
      <c r="T30" s="79"/>
      <c r="U30" s="79"/>
      <c r="V30" s="79"/>
      <c r="W30" s="79"/>
      <c r="X30" s="79"/>
      <c r="Y30" s="79"/>
      <c r="Z30" s="79"/>
      <c r="AA30" s="79"/>
      <c r="AB30" s="79"/>
    </row>
    <row r="31" spans="1:28" ht="15.75" customHeight="1">
      <c r="A31" s="62"/>
      <c r="B31" s="62"/>
      <c r="C31" s="62"/>
      <c r="D31" s="79"/>
      <c r="E31" s="119"/>
      <c r="F31" s="182"/>
      <c r="G31" s="163"/>
      <c r="H31" s="183"/>
      <c r="I31" s="163"/>
      <c r="J31" s="176"/>
      <c r="K31" s="184"/>
      <c r="L31" s="157"/>
      <c r="M31" s="157"/>
      <c r="N31" s="157"/>
      <c r="O31" s="157"/>
      <c r="P31" s="157"/>
      <c r="Q31" s="157"/>
      <c r="R31" s="128"/>
      <c r="S31" s="79"/>
      <c r="T31" s="79"/>
      <c r="U31" s="79"/>
      <c r="V31" s="79"/>
      <c r="W31" s="79"/>
      <c r="X31" s="79"/>
      <c r="Y31" s="79"/>
      <c r="Z31" s="79"/>
      <c r="AA31" s="79"/>
      <c r="AB31" s="79"/>
    </row>
    <row r="32" spans="1:28" ht="15.75" customHeight="1">
      <c r="A32" s="62"/>
      <c r="B32" s="62"/>
      <c r="C32" s="62"/>
      <c r="D32" s="79"/>
      <c r="E32" s="119"/>
      <c r="F32" s="182"/>
      <c r="G32" s="186"/>
      <c r="H32" s="183"/>
      <c r="I32" s="186"/>
      <c r="J32" s="187"/>
      <c r="K32" s="184"/>
      <c r="L32" s="157"/>
      <c r="M32" s="157"/>
      <c r="N32" s="157"/>
      <c r="O32" s="157"/>
      <c r="P32" s="157"/>
      <c r="Q32" s="157"/>
      <c r="R32" s="128"/>
      <c r="S32" s="79"/>
      <c r="T32" s="79"/>
      <c r="U32" s="79"/>
      <c r="V32" s="79"/>
      <c r="W32" s="79"/>
      <c r="X32" s="79"/>
      <c r="Y32" s="79"/>
      <c r="Z32" s="79"/>
      <c r="AA32" s="79"/>
      <c r="AB32" s="79"/>
    </row>
    <row r="33" spans="1:28" ht="15.75" customHeight="1">
      <c r="A33" s="62"/>
      <c r="B33" s="62"/>
      <c r="C33" s="62"/>
      <c r="D33" s="79"/>
      <c r="E33" s="119"/>
      <c r="F33" s="182"/>
      <c r="G33" s="163"/>
      <c r="H33" s="183"/>
      <c r="I33" s="163"/>
      <c r="J33" s="176"/>
      <c r="K33" s="184"/>
      <c r="L33" s="157"/>
      <c r="M33" s="157"/>
      <c r="N33" s="157"/>
      <c r="O33" s="157"/>
      <c r="P33" s="157"/>
      <c r="Q33" s="157"/>
      <c r="R33" s="128"/>
      <c r="S33" s="79"/>
      <c r="T33" s="79"/>
      <c r="U33" s="79"/>
      <c r="V33" s="79"/>
      <c r="W33" s="79"/>
      <c r="X33" s="79"/>
      <c r="Y33" s="79"/>
      <c r="Z33" s="79"/>
      <c r="AA33" s="79"/>
      <c r="AB33" s="79"/>
    </row>
    <row r="34" spans="1:28" ht="15.75" customHeight="1">
      <c r="A34" s="62"/>
      <c r="B34" s="62"/>
      <c r="C34" s="62"/>
      <c r="D34" s="79"/>
      <c r="E34" s="119"/>
      <c r="F34" s="182"/>
      <c r="G34" s="188"/>
      <c r="H34" s="189"/>
      <c r="I34" s="188"/>
      <c r="J34" s="190"/>
      <c r="K34" s="191"/>
      <c r="L34" s="157"/>
      <c r="M34" s="157"/>
      <c r="N34" s="157"/>
      <c r="O34" s="157"/>
      <c r="P34" s="157"/>
      <c r="Q34" s="157"/>
      <c r="R34" s="128"/>
      <c r="S34" s="79"/>
      <c r="T34" s="79"/>
      <c r="U34" s="79"/>
      <c r="V34" s="79"/>
      <c r="W34" s="79"/>
      <c r="X34" s="79"/>
      <c r="Y34" s="79"/>
      <c r="Z34" s="79"/>
      <c r="AA34" s="79"/>
      <c r="AB34" s="79"/>
    </row>
    <row r="35" spans="1:28" ht="15.75" customHeight="1">
      <c r="A35" s="62"/>
      <c r="B35" s="62"/>
      <c r="C35" s="62"/>
      <c r="D35" s="79"/>
      <c r="E35" s="119"/>
      <c r="F35" s="157"/>
      <c r="G35" s="157"/>
      <c r="H35" s="157"/>
      <c r="I35" s="157"/>
      <c r="J35" s="175"/>
      <c r="K35" s="157"/>
      <c r="L35" s="157"/>
      <c r="M35" s="157"/>
      <c r="N35" s="157"/>
      <c r="O35" s="157"/>
      <c r="P35" s="157"/>
      <c r="Q35" s="157"/>
      <c r="R35" s="128"/>
      <c r="S35" s="79"/>
      <c r="T35" s="79"/>
      <c r="U35" s="79"/>
      <c r="V35" s="79"/>
      <c r="W35" s="79"/>
      <c r="X35" s="79"/>
      <c r="Y35" s="79"/>
      <c r="Z35" s="79"/>
      <c r="AA35" s="79"/>
      <c r="AB35" s="79"/>
    </row>
    <row r="36" spans="1:28" ht="15.75" customHeight="1">
      <c r="A36" s="62"/>
      <c r="B36" s="62"/>
      <c r="C36" s="62"/>
      <c r="D36" s="79"/>
      <c r="E36" s="119"/>
      <c r="F36" s="157"/>
      <c r="G36" s="157"/>
      <c r="H36" s="157"/>
      <c r="I36" s="157"/>
      <c r="J36" s="175"/>
      <c r="K36" s="157"/>
      <c r="L36" s="157"/>
      <c r="M36" s="157"/>
      <c r="N36" s="157"/>
      <c r="O36" s="157"/>
      <c r="P36" s="157"/>
      <c r="Q36" s="157"/>
      <c r="R36" s="128"/>
      <c r="S36" s="79"/>
      <c r="T36" s="79"/>
      <c r="U36" s="79"/>
      <c r="V36" s="79"/>
      <c r="W36" s="79"/>
      <c r="X36" s="79"/>
      <c r="Y36" s="79"/>
      <c r="Z36" s="79"/>
      <c r="AA36" s="79"/>
      <c r="AB36" s="79"/>
    </row>
    <row r="37" spans="1:28" ht="15.75" customHeight="1">
      <c r="A37" s="62"/>
      <c r="B37" s="62"/>
      <c r="C37" s="62"/>
      <c r="D37" s="79"/>
      <c r="E37" s="119"/>
      <c r="F37" s="157"/>
      <c r="G37" s="157"/>
      <c r="H37" s="157"/>
      <c r="I37" s="157"/>
      <c r="J37" s="175"/>
      <c r="K37" s="157"/>
      <c r="L37" s="157"/>
      <c r="M37" s="157"/>
      <c r="N37" s="157"/>
      <c r="O37" s="157"/>
      <c r="P37" s="157"/>
      <c r="Q37" s="157"/>
      <c r="R37" s="128"/>
    </row>
    <row r="38" spans="1:28" ht="15.75" customHeight="1">
      <c r="A38" s="62"/>
      <c r="B38" s="62"/>
      <c r="C38" s="62"/>
      <c r="D38" s="79"/>
      <c r="E38" s="119"/>
      <c r="F38" s="157"/>
      <c r="G38" s="157"/>
      <c r="H38" s="157"/>
      <c r="I38" s="157"/>
      <c r="J38" s="175"/>
      <c r="K38" s="157"/>
      <c r="L38" s="157"/>
      <c r="M38" s="157"/>
      <c r="N38" s="157"/>
      <c r="O38" s="157"/>
      <c r="P38" s="157"/>
      <c r="Q38" s="157"/>
      <c r="R38" s="128"/>
    </row>
    <row r="39" spans="1:28" ht="15.75" customHeight="1">
      <c r="A39" s="62"/>
      <c r="B39" s="62"/>
      <c r="C39" s="62"/>
      <c r="D39" s="79"/>
      <c r="E39" s="119"/>
      <c r="F39" s="157"/>
      <c r="G39" s="157"/>
      <c r="H39" s="157"/>
      <c r="I39" s="157"/>
      <c r="J39" s="175"/>
      <c r="K39" s="157"/>
      <c r="L39" s="157"/>
      <c r="M39" s="157"/>
      <c r="N39" s="157"/>
      <c r="O39" s="157"/>
      <c r="P39" s="157"/>
      <c r="Q39" s="157"/>
      <c r="R39" s="160"/>
    </row>
    <row r="40" spans="1:28" ht="15.75" customHeight="1">
      <c r="A40" s="62"/>
      <c r="B40" s="62"/>
      <c r="C40" s="62"/>
      <c r="D40" s="79"/>
      <c r="E40" s="119"/>
      <c r="F40" s="157"/>
      <c r="G40" s="157"/>
      <c r="H40" s="157"/>
      <c r="I40" s="157"/>
      <c r="J40" s="175"/>
      <c r="K40" s="157"/>
      <c r="L40" s="157"/>
      <c r="M40" s="157"/>
      <c r="N40" s="157"/>
      <c r="O40" s="157"/>
      <c r="P40" s="157"/>
      <c r="Q40" s="157"/>
      <c r="R40" s="160"/>
    </row>
    <row r="41" spans="1:28" ht="15.75" customHeight="1">
      <c r="A41" s="62"/>
      <c r="B41" s="62"/>
      <c r="C41" s="62"/>
      <c r="D41" s="79"/>
      <c r="E41" s="119"/>
      <c r="F41" s="157"/>
      <c r="G41" s="157"/>
      <c r="H41" s="157"/>
      <c r="I41" s="157"/>
      <c r="J41" s="175"/>
      <c r="K41" s="157"/>
      <c r="L41" s="157"/>
      <c r="M41" s="157"/>
      <c r="N41" s="157"/>
      <c r="O41" s="157"/>
      <c r="P41" s="157"/>
      <c r="Q41" s="157"/>
      <c r="R41" s="160"/>
    </row>
    <row r="42" spans="1:28" ht="15.75" customHeight="1">
      <c r="A42" s="62"/>
      <c r="B42" s="62"/>
      <c r="C42" s="62"/>
      <c r="D42" s="79"/>
      <c r="E42" s="130"/>
      <c r="F42" s="13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2"/>
    </row>
    <row r="43" spans="1:28" ht="15.75" customHeight="1">
      <c r="A43" s="62"/>
      <c r="B43" s="62"/>
      <c r="C43" s="62"/>
      <c r="D43" s="79"/>
      <c r="E43" s="86"/>
      <c r="F43" s="86"/>
    </row>
    <row r="44" spans="1:28" ht="15.75" customHeight="1">
      <c r="A44" s="62"/>
      <c r="B44" s="62"/>
      <c r="C44" s="62"/>
      <c r="D44" s="79"/>
      <c r="E44" s="86"/>
      <c r="F44" s="86"/>
    </row>
    <row r="45" spans="1:28" ht="15.75" customHeight="1">
      <c r="D45" s="79"/>
      <c r="E45" s="86"/>
      <c r="F45" s="86"/>
    </row>
    <row r="46" spans="1:28" ht="15.75" customHeight="1">
      <c r="D46" s="79"/>
      <c r="E46" s="86"/>
      <c r="F46" s="86"/>
    </row>
    <row r="61" spans="7:20" ht="15.75" customHeight="1">
      <c r="H61" s="240" t="s">
        <v>16</v>
      </c>
      <c r="I61" s="240"/>
      <c r="J61" s="240"/>
      <c r="K61" s="240"/>
      <c r="L61" s="240"/>
      <c r="M61" s="240"/>
      <c r="N61" s="240"/>
      <c r="O61" s="240"/>
      <c r="P61" s="240"/>
      <c r="Q61" s="240"/>
      <c r="R61" s="240"/>
      <c r="S61" s="240"/>
      <c r="T61" s="240"/>
    </row>
    <row r="62" spans="7:20" ht="15.75" customHeight="1">
      <c r="G62" s="156" t="s">
        <v>9</v>
      </c>
      <c r="H62" s="155">
        <v>1</v>
      </c>
      <c r="I62" s="155"/>
      <c r="J62" s="173"/>
      <c r="K62" s="155">
        <v>2</v>
      </c>
      <c r="L62" s="155">
        <v>3</v>
      </c>
      <c r="M62" s="155"/>
      <c r="N62" s="155">
        <v>5</v>
      </c>
      <c r="O62" s="155">
        <v>6</v>
      </c>
      <c r="P62" s="155"/>
      <c r="Q62" s="155">
        <v>7</v>
      </c>
      <c r="R62" s="155">
        <v>8</v>
      </c>
      <c r="S62" s="155">
        <v>9</v>
      </c>
      <c r="T62" s="155">
        <v>10</v>
      </c>
    </row>
    <row r="63" spans="7:20" ht="15.75" customHeight="1">
      <c r="G63" s="156" t="s">
        <v>1</v>
      </c>
      <c r="H63" s="55">
        <v>80900</v>
      </c>
      <c r="I63" s="55"/>
      <c r="J63" s="55"/>
      <c r="K63" s="55">
        <v>50000</v>
      </c>
      <c r="L63" s="55"/>
      <c r="M63" s="55"/>
      <c r="N63" s="55"/>
      <c r="O63" s="55"/>
      <c r="P63" s="55"/>
      <c r="Q63" s="55"/>
      <c r="R63" s="55"/>
      <c r="S63" s="55"/>
      <c r="T63" s="55"/>
    </row>
    <row r="64" spans="7:20" ht="15.75" customHeight="1">
      <c r="G64" s="156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  <c r="T64" s="55"/>
    </row>
    <row r="65" spans="7:20" ht="15.75" customHeight="1">
      <c r="G65" s="156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  <c r="T65" s="55"/>
    </row>
    <row r="66" spans="7:20" ht="15.75" customHeight="1">
      <c r="G66" s="156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  <c r="T66" s="55"/>
    </row>
    <row r="67" spans="7:20" ht="15.75" customHeight="1">
      <c r="G67" s="156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  <c r="T67" s="55"/>
    </row>
    <row r="68" spans="7:20" ht="15.75" customHeight="1">
      <c r="G68" s="156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  <c r="T68" s="55"/>
    </row>
    <row r="69" spans="7:20" ht="15.75" customHeight="1">
      <c r="G69" s="156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  <c r="T69" s="55"/>
    </row>
    <row r="86" spans="7:26" ht="15.75" customHeight="1">
      <c r="G86" s="251" t="s">
        <v>15</v>
      </c>
      <c r="H86" s="251"/>
      <c r="I86" s="251"/>
      <c r="J86" s="251"/>
      <c r="K86" s="251"/>
      <c r="L86" s="43"/>
      <c r="M86" s="43"/>
      <c r="O86" s="252" t="s">
        <v>11</v>
      </c>
      <c r="P86" s="252"/>
      <c r="Q86" s="252"/>
      <c r="R86" s="252"/>
      <c r="S86" s="252"/>
      <c r="T86" s="252"/>
      <c r="V86" s="252" t="s">
        <v>28</v>
      </c>
      <c r="W86" s="252"/>
      <c r="X86" s="252"/>
      <c r="Y86" s="252"/>
      <c r="Z86" s="252"/>
    </row>
    <row r="87" spans="7:26" ht="15.75" customHeight="1">
      <c r="G87" s="156" t="s">
        <v>0</v>
      </c>
      <c r="H87" s="156" t="s">
        <v>9</v>
      </c>
      <c r="I87" s="156"/>
      <c r="J87" s="174"/>
      <c r="K87" s="156" t="s">
        <v>30</v>
      </c>
      <c r="L87" s="156" t="s">
        <v>36</v>
      </c>
      <c r="M87" s="100"/>
      <c r="O87" s="252"/>
      <c r="P87" s="252"/>
      <c r="Q87" s="252"/>
      <c r="R87" s="252"/>
      <c r="S87" s="252"/>
      <c r="T87" s="252"/>
      <c r="V87" s="252"/>
      <c r="W87" s="252"/>
      <c r="X87" s="252"/>
      <c r="Y87" s="252"/>
      <c r="Z87" s="252"/>
    </row>
    <row r="88" spans="7:26" ht="15.75" customHeight="1">
      <c r="G88" s="156">
        <v>1</v>
      </c>
      <c r="H88" s="156" t="s">
        <v>1</v>
      </c>
      <c r="I88" s="156"/>
      <c r="J88" s="174"/>
      <c r="K88" s="45">
        <v>900000</v>
      </c>
      <c r="L88" s="45">
        <f>K88/2</f>
        <v>450000</v>
      </c>
      <c r="M88" s="101"/>
      <c r="O88" s="241">
        <v>6000000</v>
      </c>
      <c r="P88" s="242"/>
      <c r="Q88" s="242"/>
      <c r="R88" s="242"/>
      <c r="S88" s="242"/>
      <c r="T88" s="243"/>
      <c r="V88" s="241">
        <v>6000000</v>
      </c>
      <c r="W88" s="242"/>
      <c r="X88" s="242"/>
      <c r="Y88" s="242"/>
      <c r="Z88" s="243"/>
    </row>
    <row r="89" spans="7:26" ht="15.75" customHeight="1">
      <c r="G89" s="156">
        <v>2</v>
      </c>
      <c r="H89" s="156" t="s">
        <v>2</v>
      </c>
      <c r="I89" s="156"/>
      <c r="J89" s="174"/>
      <c r="K89" s="45">
        <v>800000</v>
      </c>
      <c r="L89" s="45">
        <f t="shared" ref="L89:L94" si="0">K89/2</f>
        <v>400000</v>
      </c>
      <c r="M89" s="101"/>
      <c r="O89" s="244"/>
      <c r="P89" s="245"/>
      <c r="Q89" s="245"/>
      <c r="R89" s="245"/>
      <c r="S89" s="245"/>
      <c r="T89" s="246"/>
      <c r="V89" s="244"/>
      <c r="W89" s="245"/>
      <c r="X89" s="245"/>
      <c r="Y89" s="245"/>
      <c r="Z89" s="246"/>
    </row>
    <row r="90" spans="7:26" ht="15.75" customHeight="1">
      <c r="G90" s="156">
        <v>3</v>
      </c>
      <c r="H90" s="156" t="s">
        <v>3</v>
      </c>
      <c r="I90" s="156"/>
      <c r="J90" s="174"/>
      <c r="K90" s="45">
        <v>900000</v>
      </c>
      <c r="L90" s="45">
        <f t="shared" si="0"/>
        <v>450000</v>
      </c>
      <c r="M90" s="101"/>
      <c r="O90" s="244"/>
      <c r="P90" s="245"/>
      <c r="Q90" s="245"/>
      <c r="R90" s="245"/>
      <c r="S90" s="245"/>
      <c r="T90" s="246"/>
      <c r="V90" s="244"/>
      <c r="W90" s="245"/>
      <c r="X90" s="245"/>
      <c r="Y90" s="245"/>
      <c r="Z90" s="246"/>
    </row>
    <row r="91" spans="7:26" ht="15.75" customHeight="1">
      <c r="G91" s="156">
        <v>4</v>
      </c>
      <c r="H91" s="156" t="s">
        <v>4</v>
      </c>
      <c r="I91" s="156"/>
      <c r="J91" s="174"/>
      <c r="K91" s="45">
        <v>1000000</v>
      </c>
      <c r="L91" s="45">
        <f t="shared" si="0"/>
        <v>500000</v>
      </c>
      <c r="M91" s="101"/>
      <c r="O91" s="244"/>
      <c r="P91" s="245"/>
      <c r="Q91" s="245"/>
      <c r="R91" s="245"/>
      <c r="S91" s="245"/>
      <c r="T91" s="246"/>
      <c r="V91" s="244"/>
      <c r="W91" s="245"/>
      <c r="X91" s="245"/>
      <c r="Y91" s="245"/>
      <c r="Z91" s="246"/>
    </row>
    <row r="92" spans="7:26" ht="15.75" customHeight="1">
      <c r="G92" s="156">
        <v>5</v>
      </c>
      <c r="H92" s="156" t="s">
        <v>5</v>
      </c>
      <c r="I92" s="156"/>
      <c r="J92" s="174"/>
      <c r="K92" s="45">
        <v>400000</v>
      </c>
      <c r="L92" s="45">
        <f t="shared" si="0"/>
        <v>200000</v>
      </c>
      <c r="M92" s="101"/>
      <c r="O92" s="244"/>
      <c r="P92" s="245"/>
      <c r="Q92" s="245"/>
      <c r="R92" s="245"/>
      <c r="S92" s="245"/>
      <c r="T92" s="246"/>
      <c r="V92" s="244"/>
      <c r="W92" s="245"/>
      <c r="X92" s="245"/>
      <c r="Y92" s="245"/>
      <c r="Z92" s="246"/>
    </row>
    <row r="93" spans="7:26" ht="15.75" customHeight="1">
      <c r="G93" s="156">
        <v>6</v>
      </c>
      <c r="H93" s="156" t="s">
        <v>6</v>
      </c>
      <c r="I93" s="156"/>
      <c r="J93" s="174"/>
      <c r="K93" s="45">
        <v>100000</v>
      </c>
      <c r="L93" s="45">
        <f t="shared" si="0"/>
        <v>50000</v>
      </c>
      <c r="M93" s="101"/>
      <c r="O93" s="244"/>
      <c r="P93" s="245"/>
      <c r="Q93" s="245"/>
      <c r="R93" s="245"/>
      <c r="S93" s="245"/>
      <c r="T93" s="246"/>
      <c r="V93" s="244"/>
      <c r="W93" s="245"/>
      <c r="X93" s="245"/>
      <c r="Y93" s="245"/>
      <c r="Z93" s="246"/>
    </row>
    <row r="94" spans="7:26" ht="15.75" customHeight="1">
      <c r="G94" s="156">
        <v>7</v>
      </c>
      <c r="H94" s="156" t="s">
        <v>7</v>
      </c>
      <c r="I94" s="156"/>
      <c r="J94" s="174"/>
      <c r="K94" s="45">
        <v>100000</v>
      </c>
      <c r="L94" s="45">
        <f t="shared" si="0"/>
        <v>50000</v>
      </c>
      <c r="M94" s="101"/>
      <c r="O94" s="244"/>
      <c r="P94" s="245"/>
      <c r="Q94" s="245"/>
      <c r="R94" s="245"/>
      <c r="S94" s="245"/>
      <c r="T94" s="246"/>
      <c r="V94" s="244"/>
      <c r="W94" s="245"/>
      <c r="X94" s="245"/>
      <c r="Y94" s="245"/>
      <c r="Z94" s="246"/>
    </row>
    <row r="95" spans="7:26" ht="15.75" customHeight="1">
      <c r="G95" s="46"/>
      <c r="H95" s="47" t="s">
        <v>10</v>
      </c>
      <c r="I95" s="47"/>
      <c r="J95" s="47"/>
      <c r="K95" s="48">
        <f>SUM(K88:K94)</f>
        <v>4200000</v>
      </c>
      <c r="L95" s="48">
        <f>SUM(L88:L94)</f>
        <v>2100000</v>
      </c>
      <c r="M95" s="102"/>
      <c r="O95" s="247"/>
      <c r="P95" s="248"/>
      <c r="Q95" s="248"/>
      <c r="R95" s="248"/>
      <c r="S95" s="248"/>
      <c r="T95" s="249"/>
      <c r="V95" s="247"/>
      <c r="W95" s="248"/>
      <c r="X95" s="248"/>
      <c r="Y95" s="248"/>
      <c r="Z95" s="249"/>
    </row>
    <row r="97" spans="7:26" ht="15.75" customHeight="1">
      <c r="G97" s="250" t="s">
        <v>12</v>
      </c>
      <c r="H97" s="250"/>
      <c r="I97" s="250"/>
      <c r="J97" s="250"/>
      <c r="K97" s="250"/>
      <c r="L97" s="250"/>
      <c r="M97" s="100"/>
      <c r="O97" s="252" t="s">
        <v>29</v>
      </c>
      <c r="P97" s="252"/>
      <c r="Q97" s="252"/>
      <c r="R97" s="252"/>
      <c r="S97" s="252"/>
      <c r="T97" s="252"/>
      <c r="V97" s="259" t="s">
        <v>27</v>
      </c>
      <c r="W97" s="260"/>
      <c r="X97" s="260"/>
      <c r="Y97" s="260"/>
      <c r="Z97" s="261"/>
    </row>
    <row r="98" spans="7:26" ht="15.75" customHeight="1">
      <c r="G98" s="156" t="s">
        <v>0</v>
      </c>
      <c r="H98" s="156" t="s">
        <v>13</v>
      </c>
      <c r="I98" s="156"/>
      <c r="J98" s="174"/>
      <c r="K98" s="156" t="s">
        <v>9</v>
      </c>
      <c r="L98" s="156" t="s">
        <v>8</v>
      </c>
      <c r="M98" s="100"/>
      <c r="O98" s="252"/>
      <c r="P98" s="252"/>
      <c r="Q98" s="252"/>
      <c r="R98" s="252"/>
      <c r="S98" s="252"/>
      <c r="T98" s="252"/>
      <c r="V98" s="262"/>
      <c r="W98" s="263"/>
      <c r="X98" s="263"/>
      <c r="Y98" s="263"/>
      <c r="Z98" s="264"/>
    </row>
    <row r="99" spans="7:26" ht="15.75" customHeight="1">
      <c r="G99" s="156">
        <v>1</v>
      </c>
      <c r="H99" s="156" t="s">
        <v>14</v>
      </c>
      <c r="I99" s="156"/>
      <c r="J99" s="174"/>
      <c r="K99" s="156" t="s">
        <v>4</v>
      </c>
      <c r="L99" s="45">
        <v>2500000</v>
      </c>
      <c r="M99" s="101"/>
      <c r="O99" s="241">
        <v>6000000</v>
      </c>
      <c r="P99" s="242"/>
      <c r="Q99" s="242"/>
      <c r="R99" s="242"/>
      <c r="S99" s="242"/>
      <c r="T99" s="243"/>
      <c r="V99" s="241">
        <v>6000000</v>
      </c>
      <c r="W99" s="242"/>
      <c r="X99" s="242"/>
      <c r="Y99" s="242"/>
      <c r="Z99" s="243"/>
    </row>
    <row r="100" spans="7:26" ht="15.75" customHeight="1">
      <c r="G100" s="156">
        <v>2</v>
      </c>
      <c r="H100" s="50" t="s">
        <v>22</v>
      </c>
      <c r="I100" s="50"/>
      <c r="J100" s="50"/>
      <c r="K100" s="156" t="s">
        <v>4</v>
      </c>
      <c r="L100" s="45">
        <v>500000</v>
      </c>
      <c r="M100" s="101"/>
      <c r="O100" s="244"/>
      <c r="P100" s="245"/>
      <c r="Q100" s="245"/>
      <c r="R100" s="245"/>
      <c r="S100" s="245"/>
      <c r="T100" s="246"/>
      <c r="V100" s="244"/>
      <c r="W100" s="245"/>
      <c r="X100" s="245"/>
      <c r="Y100" s="245"/>
      <c r="Z100" s="246"/>
    </row>
    <row r="101" spans="7:26" ht="15.75" customHeight="1">
      <c r="G101" s="156"/>
      <c r="H101" s="50"/>
      <c r="I101" s="50"/>
      <c r="J101" s="50"/>
      <c r="K101" s="156"/>
      <c r="L101" s="45"/>
      <c r="M101" s="101"/>
      <c r="O101" s="244"/>
      <c r="P101" s="245"/>
      <c r="Q101" s="245"/>
      <c r="R101" s="245"/>
      <c r="S101" s="245"/>
      <c r="T101" s="246"/>
      <c r="V101" s="244"/>
      <c r="W101" s="245"/>
      <c r="X101" s="245"/>
      <c r="Y101" s="245"/>
      <c r="Z101" s="246"/>
    </row>
    <row r="102" spans="7:26" ht="15.75" customHeight="1">
      <c r="G102" s="51"/>
      <c r="H102" s="51"/>
      <c r="I102" s="51"/>
      <c r="J102" s="51"/>
      <c r="K102" s="52"/>
      <c r="L102" s="52"/>
      <c r="M102" s="103"/>
      <c r="O102" s="244"/>
      <c r="P102" s="245"/>
      <c r="Q102" s="245"/>
      <c r="R102" s="245"/>
      <c r="S102" s="245"/>
      <c r="T102" s="246"/>
      <c r="V102" s="244"/>
      <c r="W102" s="245"/>
      <c r="X102" s="245"/>
      <c r="Y102" s="245"/>
      <c r="Z102" s="246"/>
    </row>
    <row r="103" spans="7:26" ht="15.75" customHeight="1">
      <c r="G103" s="51"/>
      <c r="H103" s="51"/>
      <c r="I103" s="51"/>
      <c r="J103" s="51"/>
      <c r="K103" s="52"/>
      <c r="L103" s="52"/>
      <c r="M103" s="103"/>
      <c r="O103" s="244"/>
      <c r="P103" s="245"/>
      <c r="Q103" s="245"/>
      <c r="R103" s="245"/>
      <c r="S103" s="245"/>
      <c r="T103" s="246"/>
      <c r="V103" s="244"/>
      <c r="W103" s="245"/>
      <c r="X103" s="245"/>
      <c r="Y103" s="245"/>
      <c r="Z103" s="246"/>
    </row>
    <row r="104" spans="7:26" ht="15.75" customHeight="1">
      <c r="G104" s="51"/>
      <c r="H104" s="51"/>
      <c r="I104" s="51"/>
      <c r="J104" s="51"/>
      <c r="K104" s="52"/>
      <c r="L104" s="52"/>
      <c r="M104" s="103"/>
      <c r="O104" s="244"/>
      <c r="P104" s="245"/>
      <c r="Q104" s="245"/>
      <c r="R104" s="245"/>
      <c r="S104" s="245"/>
      <c r="T104" s="246"/>
      <c r="V104" s="244"/>
      <c r="W104" s="245"/>
      <c r="X104" s="245"/>
      <c r="Y104" s="245"/>
      <c r="Z104" s="246"/>
    </row>
    <row r="105" spans="7:26" ht="15.75" customHeight="1">
      <c r="G105" s="53"/>
      <c r="H105" s="53"/>
      <c r="I105" s="53"/>
      <c r="J105" s="53"/>
      <c r="K105" s="53" t="s">
        <v>10</v>
      </c>
      <c r="L105" s="54">
        <f>SUM(L99:L101)</f>
        <v>3000000</v>
      </c>
      <c r="M105" s="104"/>
      <c r="O105" s="244"/>
      <c r="P105" s="245"/>
      <c r="Q105" s="245"/>
      <c r="R105" s="245"/>
      <c r="S105" s="245"/>
      <c r="T105" s="246"/>
      <c r="V105" s="244"/>
      <c r="W105" s="245"/>
      <c r="X105" s="245"/>
      <c r="Y105" s="245"/>
      <c r="Z105" s="246"/>
    </row>
    <row r="106" spans="7:26" ht="15.75" customHeight="1">
      <c r="O106" s="247"/>
      <c r="P106" s="248"/>
      <c r="Q106" s="248"/>
      <c r="R106" s="248"/>
      <c r="S106" s="248"/>
      <c r="T106" s="249"/>
      <c r="V106" s="247"/>
      <c r="W106" s="248"/>
      <c r="X106" s="248"/>
      <c r="Y106" s="248"/>
      <c r="Z106" s="249"/>
    </row>
    <row r="108" spans="7:26" ht="15.75" customHeight="1">
      <c r="G108" s="251" t="s">
        <v>31</v>
      </c>
      <c r="H108" s="251"/>
      <c r="I108" s="251"/>
      <c r="J108" s="251"/>
      <c r="K108" s="251"/>
    </row>
    <row r="109" spans="7:26" ht="15.75" customHeight="1">
      <c r="G109" s="156" t="s">
        <v>0</v>
      </c>
      <c r="H109" s="156" t="s">
        <v>9</v>
      </c>
      <c r="I109" s="156"/>
      <c r="J109" s="174"/>
      <c r="K109" s="156" t="s">
        <v>8</v>
      </c>
    </row>
    <row r="110" spans="7:26" ht="15.75" customHeight="1">
      <c r="G110" s="156">
        <v>1</v>
      </c>
      <c r="H110" s="156" t="s">
        <v>1</v>
      </c>
      <c r="I110" s="156"/>
      <c r="J110" s="174"/>
      <c r="K110" s="45">
        <f>850000-H63-K63</f>
        <v>719100</v>
      </c>
    </row>
    <row r="111" spans="7:26" ht="15.75" customHeight="1">
      <c r="G111" s="156">
        <v>2</v>
      </c>
      <c r="H111" s="156" t="s">
        <v>2</v>
      </c>
      <c r="I111" s="156"/>
      <c r="J111" s="174"/>
      <c r="K111" s="45">
        <v>800000</v>
      </c>
    </row>
    <row r="112" spans="7:26" ht="15.75" customHeight="1">
      <c r="G112" s="156">
        <v>3</v>
      </c>
      <c r="H112" s="156" t="s">
        <v>3</v>
      </c>
      <c r="I112" s="156"/>
      <c r="J112" s="174"/>
      <c r="K112" s="45">
        <v>850000</v>
      </c>
    </row>
    <row r="113" spans="7:13" ht="15.75" customHeight="1">
      <c r="G113" s="156">
        <v>4</v>
      </c>
      <c r="H113" s="156" t="s">
        <v>4</v>
      </c>
      <c r="I113" s="156"/>
      <c r="J113" s="174"/>
      <c r="K113" s="45">
        <v>1000000</v>
      </c>
    </row>
    <row r="114" spans="7:13" ht="15.75" customHeight="1">
      <c r="G114" s="156">
        <v>5</v>
      </c>
      <c r="H114" s="156" t="s">
        <v>5</v>
      </c>
      <c r="I114" s="156"/>
      <c r="J114" s="174"/>
      <c r="K114" s="45">
        <v>500000</v>
      </c>
    </row>
    <row r="115" spans="7:13" ht="15.75" customHeight="1">
      <c r="G115" s="156">
        <v>6</v>
      </c>
      <c r="H115" s="156" t="s">
        <v>6</v>
      </c>
      <c r="I115" s="156"/>
      <c r="J115" s="174"/>
      <c r="K115" s="45">
        <v>100000</v>
      </c>
    </row>
    <row r="116" spans="7:13" ht="15.75" customHeight="1">
      <c r="G116" s="156">
        <v>7</v>
      </c>
      <c r="H116" s="156" t="s">
        <v>7</v>
      </c>
      <c r="I116" s="156"/>
      <c r="J116" s="174"/>
      <c r="K116" s="45">
        <v>100000</v>
      </c>
    </row>
    <row r="117" spans="7:13" ht="15.75" customHeight="1">
      <c r="G117" s="156">
        <v>8</v>
      </c>
      <c r="H117" s="156" t="s">
        <v>32</v>
      </c>
      <c r="I117" s="156"/>
      <c r="J117" s="174"/>
      <c r="K117" s="45"/>
    </row>
    <row r="118" spans="7:13" ht="15.75" customHeight="1">
      <c r="G118" s="156">
        <v>9</v>
      </c>
      <c r="H118" s="156" t="s">
        <v>33</v>
      </c>
      <c r="I118" s="156"/>
      <c r="J118" s="174"/>
      <c r="K118" s="45"/>
    </row>
    <row r="119" spans="7:13" ht="15.75" customHeight="1">
      <c r="G119" s="156">
        <v>10</v>
      </c>
      <c r="H119" s="156" t="s">
        <v>34</v>
      </c>
      <c r="I119" s="156"/>
      <c r="J119" s="174"/>
      <c r="K119" s="45"/>
    </row>
    <row r="120" spans="7:13" ht="15.75" customHeight="1">
      <c r="G120" s="156">
        <v>11</v>
      </c>
      <c r="H120" s="156" t="s">
        <v>35</v>
      </c>
      <c r="I120" s="156"/>
      <c r="J120" s="174"/>
      <c r="K120" s="45"/>
    </row>
    <row r="121" spans="7:13" ht="15.75" customHeight="1">
      <c r="G121" s="156">
        <v>12</v>
      </c>
      <c r="H121" s="156" t="s">
        <v>12</v>
      </c>
      <c r="I121" s="156"/>
      <c r="J121" s="174"/>
      <c r="K121" s="45">
        <f>L105</f>
        <v>3000000</v>
      </c>
    </row>
    <row r="122" spans="7:13" ht="15.75" customHeight="1">
      <c r="G122" s="150">
        <v>45553</v>
      </c>
      <c r="H122" s="149" t="s">
        <v>89</v>
      </c>
      <c r="I122" s="149">
        <v>30000000</v>
      </c>
      <c r="J122" s="149"/>
      <c r="K122" s="48" t="s">
        <v>1</v>
      </c>
      <c r="L122" s="41" t="s">
        <v>91</v>
      </c>
    </row>
    <row r="123" spans="7:13" ht="15.75" customHeight="1">
      <c r="G123" s="41" t="s">
        <v>92</v>
      </c>
      <c r="H123" s="41">
        <v>1</v>
      </c>
      <c r="I123" s="41">
        <v>2</v>
      </c>
      <c r="K123" s="41" t="s">
        <v>5</v>
      </c>
      <c r="L123" s="41">
        <v>123</v>
      </c>
    </row>
    <row r="125" spans="7:13" ht="15.75" customHeight="1">
      <c r="K125" s="55"/>
      <c r="L125" s="55"/>
      <c r="M125" s="55"/>
    </row>
  </sheetData>
  <mergeCells count="22">
    <mergeCell ref="E2:Q2"/>
    <mergeCell ref="B4:C5"/>
    <mergeCell ref="K6:N6"/>
    <mergeCell ref="O6:R6"/>
    <mergeCell ref="S6:U6"/>
    <mergeCell ref="Y6:Z6"/>
    <mergeCell ref="F7:K7"/>
    <mergeCell ref="V6:X6"/>
    <mergeCell ref="M7:N7"/>
    <mergeCell ref="P7:Q7"/>
    <mergeCell ref="G108:K108"/>
    <mergeCell ref="H61:T61"/>
    <mergeCell ref="G86:K86"/>
    <mergeCell ref="O86:T87"/>
    <mergeCell ref="V86:Z87"/>
    <mergeCell ref="O88:T95"/>
    <mergeCell ref="V88:Z95"/>
    <mergeCell ref="G97:L97"/>
    <mergeCell ref="O97:T98"/>
    <mergeCell ref="V97:Z98"/>
    <mergeCell ref="O99:T106"/>
    <mergeCell ref="V99:Z10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300-000000000000}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00000000-0002-0000-0300-000000000000}">
          <x14:formula1>
            <xm:f>PENGATURAN!$D$5:$D$16</xm:f>
          </x14:formula1>
          <xm:sqref>P7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outlinePr summaryBelow="0" summaryRight="0"/>
  </sheetPr>
  <dimension ref="A1:AA125"/>
  <sheetViews>
    <sheetView topLeftCell="D94" zoomScale="40" zoomScaleNormal="40" workbookViewId="0">
      <selection activeCell="O108" sqref="O108:U115"/>
    </sheetView>
  </sheetViews>
  <sheetFormatPr defaultColWidth="12.54296875" defaultRowHeight="15.75" customHeight="1"/>
  <cols>
    <col min="1" max="1" width="7.7265625" style="41" customWidth="1"/>
    <col min="2" max="2" width="8.26953125" style="41" customWidth="1"/>
    <col min="3" max="3" width="27.81640625" style="41" customWidth="1"/>
    <col min="4" max="4" width="8.1796875" style="77" customWidth="1"/>
    <col min="5" max="5" width="4.1796875" style="77" customWidth="1"/>
    <col min="6" max="6" width="35.54296875" style="77" customWidth="1"/>
    <col min="7" max="7" width="33.453125" style="41" customWidth="1"/>
    <col min="8" max="8" width="28.54296875" style="41" customWidth="1"/>
    <col min="9" max="9" width="23" style="41" customWidth="1"/>
    <col min="10" max="10" width="31.453125" style="41" customWidth="1"/>
    <col min="11" max="11" width="18.453125" style="41" bestFit="1" customWidth="1"/>
    <col min="12" max="12" width="7.453125" style="41" customWidth="1"/>
    <col min="13" max="13" width="23.81640625" style="41" customWidth="1"/>
    <col min="14" max="14" width="2.81640625" style="41" customWidth="1"/>
    <col min="15" max="15" width="6.453125" style="41" customWidth="1"/>
    <col min="16" max="16" width="25.453125" style="41" customWidth="1"/>
    <col min="17" max="17" width="3.54296875" style="41" customWidth="1"/>
    <col min="18" max="21" width="12.54296875" style="41"/>
    <col min="22" max="22" width="12.54296875" style="41" customWidth="1"/>
    <col min="23" max="23" width="23.7265625" style="41" customWidth="1"/>
    <col min="24" max="16384" width="12.54296875" style="41"/>
  </cols>
  <sheetData>
    <row r="1" spans="1:27" ht="15.75" customHeight="1">
      <c r="A1" s="96"/>
      <c r="B1" s="96"/>
      <c r="C1" s="96" t="s">
        <v>51</v>
      </c>
      <c r="D1" s="78"/>
      <c r="E1" s="79"/>
      <c r="F1" s="79"/>
      <c r="G1" s="79"/>
      <c r="H1" s="79"/>
      <c r="I1" s="79"/>
      <c r="J1" s="79"/>
      <c r="K1" s="79"/>
      <c r="L1" s="79"/>
      <c r="M1" s="79"/>
      <c r="N1" s="79"/>
      <c r="O1" s="79"/>
      <c r="P1" s="79"/>
      <c r="Q1" s="75"/>
      <c r="R1" s="135"/>
      <c r="S1" s="135"/>
      <c r="T1" s="135"/>
      <c r="U1" s="135"/>
      <c r="V1" s="135"/>
      <c r="W1" s="135"/>
      <c r="X1" s="135"/>
      <c r="Y1" s="135"/>
      <c r="Z1" s="135"/>
      <c r="AA1" s="79"/>
    </row>
    <row r="2" spans="1:27" ht="19.5" customHeight="1">
      <c r="A2" s="96"/>
      <c r="B2" s="96"/>
      <c r="C2" s="96" t="s">
        <v>71</v>
      </c>
      <c r="D2" s="78"/>
      <c r="E2" s="230" t="s">
        <v>90</v>
      </c>
      <c r="F2" s="230"/>
      <c r="G2" s="230"/>
      <c r="H2" s="230"/>
      <c r="I2" s="230"/>
      <c r="J2" s="230"/>
      <c r="K2" s="230"/>
      <c r="L2" s="230"/>
      <c r="M2" s="230"/>
      <c r="N2" s="230"/>
      <c r="O2" s="230"/>
      <c r="P2" s="230"/>
      <c r="Q2" s="136"/>
      <c r="R2" s="135"/>
      <c r="S2" s="135"/>
      <c r="T2" s="135"/>
      <c r="U2" s="135"/>
      <c r="V2" s="135"/>
      <c r="W2" s="135"/>
      <c r="X2" s="135"/>
      <c r="Y2" s="135"/>
      <c r="Z2" s="135"/>
      <c r="AA2" s="79"/>
    </row>
    <row r="3" spans="1:27" ht="9.65" customHeight="1">
      <c r="A3" s="62"/>
      <c r="B3" s="62"/>
      <c r="C3" s="62"/>
      <c r="D3" s="78"/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36"/>
      <c r="R3" s="135"/>
      <c r="S3" s="135"/>
      <c r="T3" s="135"/>
      <c r="U3" s="135"/>
      <c r="V3" s="135"/>
      <c r="W3" s="135"/>
      <c r="X3" s="135"/>
      <c r="Y3" s="135"/>
      <c r="Z3" s="135"/>
      <c r="AA3" s="79"/>
    </row>
    <row r="4" spans="1:27" ht="16" customHeight="1">
      <c r="A4" s="62"/>
      <c r="B4" s="231" t="s">
        <v>72</v>
      </c>
      <c r="C4" s="231"/>
      <c r="D4" s="78"/>
      <c r="E4" s="105"/>
      <c r="F4" s="105"/>
      <c r="G4" s="105"/>
      <c r="H4" s="105"/>
      <c r="I4" s="105"/>
      <c r="J4" s="105"/>
      <c r="K4" s="105"/>
      <c r="L4" s="105"/>
      <c r="M4" s="105"/>
      <c r="N4" s="105"/>
      <c r="O4" s="105"/>
      <c r="P4" s="105"/>
      <c r="Q4" s="136"/>
      <c r="R4" s="135"/>
      <c r="S4" s="135"/>
      <c r="T4" s="135"/>
      <c r="U4" s="135"/>
      <c r="V4" s="135"/>
      <c r="W4" s="135"/>
      <c r="X4" s="135"/>
      <c r="Y4" s="135"/>
      <c r="Z4" s="135"/>
      <c r="AA4" s="79"/>
    </row>
    <row r="5" spans="1:27" ht="15.75" customHeight="1">
      <c r="A5" s="62"/>
      <c r="B5" s="231"/>
      <c r="C5" s="231"/>
      <c r="D5" s="78"/>
      <c r="E5" s="78"/>
      <c r="F5" s="78"/>
      <c r="G5" s="78"/>
      <c r="H5" s="135"/>
      <c r="I5" s="135"/>
      <c r="J5" s="78"/>
      <c r="K5" s="78"/>
      <c r="L5" s="78"/>
      <c r="M5" s="78"/>
      <c r="N5" s="78"/>
      <c r="O5" s="78"/>
      <c r="P5" s="78"/>
      <c r="Q5" s="112"/>
      <c r="R5" s="78"/>
      <c r="S5" s="78"/>
      <c r="T5" s="78"/>
      <c r="U5" s="78"/>
      <c r="V5" s="78"/>
      <c r="W5" s="78"/>
      <c r="X5" s="78"/>
      <c r="Y5" s="78"/>
      <c r="Z5" s="78"/>
      <c r="AA5" s="79"/>
    </row>
    <row r="6" spans="1:27" ht="25" customHeight="1">
      <c r="A6" s="62"/>
      <c r="B6" s="97"/>
      <c r="C6" s="99" t="s">
        <v>37</v>
      </c>
      <c r="D6" s="79"/>
      <c r="E6" s="120"/>
      <c r="F6" s="121"/>
      <c r="G6" s="124"/>
      <c r="H6" s="158"/>
      <c r="I6" s="158"/>
      <c r="J6" s="232"/>
      <c r="K6" s="280"/>
      <c r="L6" s="280"/>
      <c r="M6" s="280"/>
      <c r="N6" s="232"/>
      <c r="O6" s="232"/>
      <c r="P6" s="280"/>
      <c r="Q6" s="281"/>
      <c r="R6" s="268"/>
      <c r="S6" s="269"/>
      <c r="T6" s="269"/>
      <c r="U6" s="270"/>
      <c r="V6" s="269"/>
      <c r="W6" s="269"/>
      <c r="X6" s="268"/>
      <c r="Y6" s="269"/>
      <c r="Z6" s="82"/>
      <c r="AA6" s="79"/>
    </row>
    <row r="7" spans="1:27" ht="19" customHeight="1">
      <c r="A7" s="62"/>
      <c r="B7" s="62"/>
      <c r="C7" s="98" t="s">
        <v>38</v>
      </c>
      <c r="D7" s="80"/>
      <c r="E7" s="119"/>
      <c r="F7" s="234" t="s">
        <v>42</v>
      </c>
      <c r="G7" s="235"/>
      <c r="H7" s="235"/>
      <c r="I7" s="235"/>
      <c r="J7" s="236"/>
      <c r="K7" s="153"/>
      <c r="L7" s="282"/>
      <c r="M7" s="282"/>
      <c r="N7" s="85"/>
      <c r="O7" s="283"/>
      <c r="P7" s="283"/>
      <c r="Q7" s="128"/>
      <c r="R7" s="135"/>
      <c r="S7" s="135"/>
      <c r="T7" s="135"/>
      <c r="U7" s="135"/>
      <c r="V7" s="135"/>
      <c r="W7" s="135"/>
      <c r="X7" s="135"/>
      <c r="Y7" s="135"/>
      <c r="Z7" s="135"/>
      <c r="AA7" s="79"/>
    </row>
    <row r="8" spans="1:27" ht="20.149999999999999" customHeight="1">
      <c r="A8" s="62"/>
      <c r="B8" s="62"/>
      <c r="C8" s="98" t="s">
        <v>39</v>
      </c>
      <c r="D8" s="80"/>
      <c r="E8" s="127"/>
      <c r="F8" s="143" t="s">
        <v>84</v>
      </c>
      <c r="G8" s="123" t="s">
        <v>85</v>
      </c>
      <c r="H8" s="123" t="s">
        <v>86</v>
      </c>
      <c r="I8" s="123" t="s">
        <v>94</v>
      </c>
      <c r="J8" s="144" t="s">
        <v>95</v>
      </c>
      <c r="K8" s="153"/>
      <c r="L8" s="153"/>
      <c r="M8" s="153"/>
      <c r="N8" s="153"/>
      <c r="O8" s="153"/>
      <c r="P8" s="153"/>
      <c r="Q8" s="128"/>
      <c r="R8" s="135"/>
      <c r="S8" s="135"/>
      <c r="T8" s="135"/>
      <c r="U8" s="135"/>
      <c r="V8" s="135"/>
      <c r="W8" s="135"/>
      <c r="X8" s="135"/>
      <c r="Y8" s="135"/>
      <c r="Z8" s="135"/>
      <c r="AA8" s="79"/>
    </row>
    <row r="9" spans="1:27" ht="20.149999999999999" customHeight="1">
      <c r="A9" s="62"/>
      <c r="B9" s="62"/>
      <c r="C9" s="98" t="s">
        <v>40</v>
      </c>
      <c r="D9" s="80"/>
      <c r="E9" s="127"/>
      <c r="F9" s="164">
        <v>9</v>
      </c>
      <c r="G9" s="163"/>
      <c r="H9" s="165"/>
      <c r="I9" s="163"/>
      <c r="J9" s="166"/>
      <c r="K9" s="153"/>
      <c r="L9" s="284"/>
      <c r="M9" s="284"/>
      <c r="N9" s="153"/>
      <c r="O9" s="284"/>
      <c r="P9" s="284"/>
      <c r="Q9" s="128"/>
      <c r="R9" s="135"/>
      <c r="S9" s="135"/>
      <c r="T9" s="135"/>
      <c r="U9" s="135"/>
      <c r="V9" s="135"/>
      <c r="W9" s="135"/>
      <c r="X9" s="135"/>
      <c r="Y9" s="135"/>
      <c r="Z9" s="135"/>
      <c r="AA9" s="79"/>
    </row>
    <row r="10" spans="1:27" ht="20.149999999999999" customHeight="1">
      <c r="A10" s="62"/>
      <c r="B10" s="62"/>
      <c r="C10" s="99" t="s">
        <v>41</v>
      </c>
      <c r="D10" s="79"/>
      <c r="E10" s="119"/>
      <c r="F10" s="164"/>
      <c r="G10" s="167"/>
      <c r="H10" s="165"/>
      <c r="I10" s="167"/>
      <c r="J10" s="166"/>
      <c r="K10" s="153"/>
      <c r="L10" s="145"/>
      <c r="M10" s="146"/>
      <c r="N10" s="153"/>
      <c r="O10" s="145"/>
      <c r="P10" s="146"/>
      <c r="Q10" s="128"/>
      <c r="R10" s="79"/>
      <c r="S10" s="79"/>
      <c r="T10" s="79"/>
      <c r="U10" s="79"/>
      <c r="V10" s="79"/>
      <c r="W10" s="79"/>
      <c r="X10" s="79"/>
      <c r="Y10" s="79"/>
      <c r="Z10" s="79"/>
      <c r="AA10" s="79"/>
    </row>
    <row r="11" spans="1:27" ht="25" customHeight="1">
      <c r="A11" s="62"/>
      <c r="B11" s="62"/>
      <c r="C11" s="99" t="s">
        <v>42</v>
      </c>
      <c r="D11" s="79"/>
      <c r="E11" s="119"/>
      <c r="F11" s="164"/>
      <c r="G11" s="163"/>
      <c r="H11" s="165"/>
      <c r="I11" s="163"/>
      <c r="J11" s="166"/>
      <c r="K11" s="153"/>
      <c r="L11" s="147"/>
      <c r="M11" s="148"/>
      <c r="N11" s="153"/>
      <c r="O11" s="147"/>
      <c r="P11" s="148"/>
      <c r="Q11" s="128"/>
      <c r="R11" s="79"/>
      <c r="S11" s="79"/>
      <c r="T11" s="79"/>
      <c r="U11" s="79"/>
      <c r="V11" s="79"/>
      <c r="W11" s="79"/>
      <c r="X11" s="79"/>
      <c r="Y11" s="79"/>
      <c r="Z11" s="79"/>
      <c r="AA11" s="79"/>
    </row>
    <row r="12" spans="1:27" ht="26.15" customHeight="1">
      <c r="A12" s="62"/>
      <c r="B12" s="62"/>
      <c r="C12" s="99" t="s">
        <v>73</v>
      </c>
      <c r="D12" s="79"/>
      <c r="E12" s="119"/>
      <c r="F12" s="164"/>
      <c r="G12" s="122"/>
      <c r="H12" s="165"/>
      <c r="I12" s="122"/>
      <c r="J12" s="166"/>
      <c r="K12" s="153"/>
      <c r="L12" s="153"/>
      <c r="M12" s="153"/>
      <c r="N12" s="153"/>
      <c r="O12" s="153"/>
      <c r="P12" s="153"/>
      <c r="Q12" s="128"/>
      <c r="R12" s="79"/>
      <c r="S12" s="79"/>
      <c r="T12" s="79"/>
      <c r="U12" s="79"/>
      <c r="V12" s="79"/>
      <c r="W12" s="79"/>
      <c r="X12" s="79"/>
      <c r="Y12" s="79"/>
      <c r="Z12" s="79"/>
      <c r="AA12" s="79"/>
    </row>
    <row r="13" spans="1:27" ht="28.5" customHeight="1">
      <c r="A13" s="62"/>
      <c r="B13" s="62"/>
      <c r="C13" s="99" t="s">
        <v>74</v>
      </c>
      <c r="D13" s="79"/>
      <c r="E13" s="119"/>
      <c r="F13" s="164"/>
      <c r="G13" s="163"/>
      <c r="H13" s="165"/>
      <c r="I13" s="163"/>
      <c r="J13" s="166"/>
      <c r="K13" s="153"/>
      <c r="L13" s="153"/>
      <c r="M13" s="153"/>
      <c r="N13" s="153"/>
      <c r="O13" s="153"/>
      <c r="P13" s="153"/>
      <c r="Q13" s="128"/>
      <c r="R13" s="79"/>
      <c r="S13" s="79"/>
      <c r="T13" s="79"/>
      <c r="U13" s="79"/>
      <c r="V13" s="79"/>
      <c r="W13" s="79"/>
      <c r="X13" s="79"/>
      <c r="Y13" s="79"/>
      <c r="Z13" s="79"/>
      <c r="AA13" s="79"/>
    </row>
    <row r="14" spans="1:27" ht="15.75" customHeight="1">
      <c r="A14" s="62"/>
      <c r="B14" s="62"/>
      <c r="C14" s="62"/>
      <c r="D14" s="79"/>
      <c r="E14" s="119"/>
      <c r="F14" s="164"/>
      <c r="G14" s="167"/>
      <c r="H14" s="165"/>
      <c r="I14" s="167"/>
      <c r="J14" s="166"/>
      <c r="K14" s="153"/>
      <c r="L14" s="153"/>
      <c r="M14" s="153"/>
      <c r="N14" s="153"/>
      <c r="O14" s="153"/>
      <c r="P14" s="153"/>
      <c r="Q14" s="128"/>
      <c r="R14" s="152"/>
      <c r="S14" s="79"/>
      <c r="T14" s="79"/>
      <c r="U14" s="79"/>
      <c r="V14" s="79"/>
      <c r="W14" s="79"/>
      <c r="X14" s="79"/>
      <c r="Y14" s="79"/>
      <c r="Z14" s="79"/>
      <c r="AA14" s="79"/>
    </row>
    <row r="15" spans="1:27" ht="15.75" customHeight="1">
      <c r="A15" s="62"/>
      <c r="B15" s="62"/>
      <c r="C15" s="62"/>
      <c r="D15" s="79"/>
      <c r="E15" s="119"/>
      <c r="F15" s="164"/>
      <c r="G15" s="163"/>
      <c r="H15" s="165"/>
      <c r="I15" s="163"/>
      <c r="J15" s="166"/>
      <c r="K15" s="153"/>
      <c r="L15" s="153"/>
      <c r="M15" s="153"/>
      <c r="N15" s="153"/>
      <c r="O15" s="153"/>
      <c r="P15" s="153"/>
      <c r="Q15" s="128"/>
      <c r="R15" s="152"/>
      <c r="S15" s="79"/>
      <c r="T15" s="79"/>
      <c r="U15" s="79"/>
      <c r="V15" s="79"/>
      <c r="W15" s="79"/>
      <c r="X15" s="79"/>
      <c r="Y15" s="79"/>
      <c r="Z15" s="79"/>
      <c r="AA15" s="79"/>
    </row>
    <row r="16" spans="1:27" ht="15.75" customHeight="1">
      <c r="A16" s="62"/>
      <c r="B16" s="62"/>
      <c r="C16" s="62"/>
      <c r="D16" s="79" t="s">
        <v>52</v>
      </c>
      <c r="E16" s="119"/>
      <c r="F16" s="164"/>
      <c r="G16" s="122"/>
      <c r="H16" s="165"/>
      <c r="I16" s="122"/>
      <c r="J16" s="166"/>
      <c r="K16" s="153"/>
      <c r="L16" s="153"/>
      <c r="M16" s="153"/>
      <c r="N16" s="153"/>
      <c r="O16" s="153"/>
      <c r="P16" s="153"/>
      <c r="Q16" s="128"/>
      <c r="R16" s="79"/>
      <c r="S16" s="79"/>
      <c r="T16" s="79"/>
      <c r="U16" s="79"/>
      <c r="V16" s="79"/>
      <c r="W16" s="79"/>
      <c r="X16" s="79"/>
      <c r="Y16" s="79"/>
      <c r="Z16" s="79"/>
      <c r="AA16" s="79"/>
    </row>
    <row r="17" spans="1:27" ht="15.75" customHeight="1">
      <c r="A17" s="62"/>
      <c r="B17" s="62"/>
      <c r="C17" s="62"/>
      <c r="D17" s="79"/>
      <c r="E17" s="119"/>
      <c r="F17" s="164"/>
      <c r="G17" s="163"/>
      <c r="H17" s="165"/>
      <c r="I17" s="163"/>
      <c r="J17" s="166"/>
      <c r="K17" s="153"/>
      <c r="L17" s="153"/>
      <c r="M17" s="153"/>
      <c r="N17" s="153"/>
      <c r="O17" s="153"/>
      <c r="P17" s="153"/>
      <c r="Q17" s="128"/>
      <c r="R17" s="79"/>
      <c r="S17" s="79"/>
      <c r="T17" s="79"/>
      <c r="U17" s="79"/>
      <c r="V17" s="79"/>
      <c r="W17" s="79"/>
      <c r="X17" s="79"/>
      <c r="Y17" s="79"/>
      <c r="Z17" s="79"/>
      <c r="AA17" s="79"/>
    </row>
    <row r="18" spans="1:27" ht="15.75" customHeight="1">
      <c r="A18" s="62"/>
      <c r="B18" s="62"/>
      <c r="C18" s="62"/>
      <c r="D18" s="79"/>
      <c r="E18" s="119"/>
      <c r="F18" s="164"/>
      <c r="G18" s="167"/>
      <c r="H18" s="165"/>
      <c r="I18" s="167"/>
      <c r="J18" s="166"/>
      <c r="K18" s="153"/>
      <c r="L18" s="153"/>
      <c r="M18" s="153"/>
      <c r="N18" s="153"/>
      <c r="O18" s="153"/>
      <c r="P18" s="153"/>
      <c r="Q18" s="128"/>
      <c r="R18" s="79"/>
      <c r="S18" s="79"/>
      <c r="T18" s="79"/>
      <c r="U18" s="79"/>
      <c r="V18" s="79"/>
      <c r="W18" s="79"/>
      <c r="X18" s="79"/>
      <c r="Y18" s="79"/>
      <c r="Z18" s="79"/>
      <c r="AA18" s="79"/>
    </row>
    <row r="19" spans="1:27" ht="15.75" customHeight="1">
      <c r="A19" s="62"/>
      <c r="B19" s="62"/>
      <c r="C19" s="62"/>
      <c r="D19" s="79"/>
      <c r="E19" s="119"/>
      <c r="F19" s="164"/>
      <c r="G19" s="163"/>
      <c r="H19" s="165"/>
      <c r="I19" s="163"/>
      <c r="J19" s="166"/>
      <c r="K19" s="153"/>
      <c r="L19" s="153"/>
      <c r="M19" s="153"/>
      <c r="N19" s="153"/>
      <c r="O19" s="153"/>
      <c r="P19" s="153"/>
      <c r="Q19" s="128"/>
      <c r="R19" s="79"/>
      <c r="S19" s="79"/>
      <c r="T19" s="79"/>
      <c r="U19" s="79"/>
      <c r="V19" s="79"/>
      <c r="W19" s="79"/>
      <c r="X19" s="79"/>
      <c r="Y19" s="79"/>
      <c r="Z19" s="79"/>
      <c r="AA19" s="79"/>
    </row>
    <row r="20" spans="1:27" ht="15.75" customHeight="1">
      <c r="A20" s="62"/>
      <c r="B20" s="62"/>
      <c r="C20" s="62"/>
      <c r="D20" s="79"/>
      <c r="E20" s="119"/>
      <c r="F20" s="164"/>
      <c r="G20" s="122"/>
      <c r="H20" s="165"/>
      <c r="I20" s="122"/>
      <c r="J20" s="166"/>
      <c r="K20" s="153"/>
      <c r="L20" s="153"/>
      <c r="M20" s="153"/>
      <c r="N20" s="153"/>
      <c r="O20" s="153"/>
      <c r="P20" s="153"/>
      <c r="Q20" s="128"/>
      <c r="R20" s="79"/>
      <c r="S20" s="79"/>
      <c r="T20" s="79"/>
      <c r="U20" s="79"/>
      <c r="V20" s="79"/>
      <c r="W20" s="79"/>
      <c r="X20" s="79"/>
      <c r="Y20" s="79"/>
      <c r="Z20" s="79"/>
      <c r="AA20" s="79"/>
    </row>
    <row r="21" spans="1:27" ht="15.75" customHeight="1">
      <c r="A21" s="62"/>
      <c r="B21" s="62"/>
      <c r="C21" s="62"/>
      <c r="D21" s="79"/>
      <c r="E21" s="119"/>
      <c r="F21" s="164"/>
      <c r="G21" s="163"/>
      <c r="H21" s="165"/>
      <c r="I21" s="163"/>
      <c r="J21" s="166"/>
      <c r="K21" s="153"/>
      <c r="L21" s="153"/>
      <c r="M21" s="153"/>
      <c r="N21" s="153"/>
      <c r="O21" s="153"/>
      <c r="P21" s="153"/>
      <c r="Q21" s="128"/>
      <c r="R21" s="79"/>
      <c r="S21" s="79"/>
      <c r="T21" s="79"/>
      <c r="U21" s="79"/>
      <c r="V21" s="79"/>
      <c r="W21" s="79"/>
      <c r="X21" s="79"/>
      <c r="Y21" s="79"/>
      <c r="Z21" s="79"/>
      <c r="AA21" s="79"/>
    </row>
    <row r="22" spans="1:27" ht="15.75" customHeight="1">
      <c r="A22" s="62"/>
      <c r="B22" s="62"/>
      <c r="C22" s="62"/>
      <c r="D22" s="79"/>
      <c r="E22" s="119"/>
      <c r="F22" s="164"/>
      <c r="G22" s="167"/>
      <c r="H22" s="165"/>
      <c r="I22" s="167"/>
      <c r="J22" s="166"/>
      <c r="K22" s="153"/>
      <c r="L22" s="153"/>
      <c r="M22" s="153"/>
      <c r="N22" s="153"/>
      <c r="O22" s="153"/>
      <c r="P22" s="153"/>
      <c r="Q22" s="128"/>
      <c r="R22" s="79"/>
      <c r="S22" s="79"/>
      <c r="T22" s="79"/>
      <c r="U22" s="79"/>
      <c r="V22" s="79"/>
      <c r="W22" s="79"/>
      <c r="X22" s="79"/>
      <c r="Y22" s="79"/>
      <c r="Z22" s="79"/>
      <c r="AA22" s="79"/>
    </row>
    <row r="23" spans="1:27" ht="15.75" customHeight="1">
      <c r="A23" s="62"/>
      <c r="B23" s="62"/>
      <c r="C23" s="62"/>
      <c r="D23" s="79"/>
      <c r="E23" s="119"/>
      <c r="F23" s="164"/>
      <c r="G23" s="163"/>
      <c r="H23" s="165"/>
      <c r="I23" s="163"/>
      <c r="J23" s="166"/>
      <c r="K23" s="153"/>
      <c r="L23" s="153"/>
      <c r="M23" s="153"/>
      <c r="N23" s="153"/>
      <c r="O23" s="153"/>
      <c r="P23" s="153"/>
      <c r="Q23" s="128"/>
      <c r="R23" s="79"/>
      <c r="S23" s="79"/>
      <c r="T23" s="79"/>
      <c r="U23" s="79"/>
      <c r="V23" s="79"/>
      <c r="W23" s="79"/>
      <c r="X23" s="79"/>
      <c r="Y23" s="79"/>
      <c r="Z23" s="79"/>
      <c r="AA23" s="79"/>
    </row>
    <row r="24" spans="1:27" ht="15.75" customHeight="1">
      <c r="A24" s="62"/>
      <c r="B24" s="62"/>
      <c r="C24" s="62"/>
      <c r="D24" s="79"/>
      <c r="E24" s="119"/>
      <c r="F24" s="164"/>
      <c r="G24" s="122"/>
      <c r="H24" s="165"/>
      <c r="I24" s="122"/>
      <c r="J24" s="166"/>
      <c r="K24" s="153"/>
      <c r="L24" s="153"/>
      <c r="M24" s="153"/>
      <c r="N24" s="153"/>
      <c r="O24" s="153"/>
      <c r="P24" s="153"/>
      <c r="Q24" s="128"/>
      <c r="R24" s="79"/>
      <c r="S24" s="79"/>
      <c r="T24" s="79"/>
      <c r="U24" s="79"/>
      <c r="V24" s="79"/>
      <c r="W24" s="79"/>
      <c r="X24" s="79"/>
      <c r="Y24" s="79"/>
      <c r="Z24" s="79"/>
      <c r="AA24" s="79"/>
    </row>
    <row r="25" spans="1:27" ht="15.75" customHeight="1">
      <c r="A25" s="62"/>
      <c r="B25" s="62"/>
      <c r="C25" s="62"/>
      <c r="D25" s="79"/>
      <c r="E25" s="119"/>
      <c r="F25" s="164"/>
      <c r="G25" s="163"/>
      <c r="H25" s="165"/>
      <c r="I25" s="163"/>
      <c r="J25" s="166"/>
      <c r="K25" s="153"/>
      <c r="L25" s="153"/>
      <c r="M25" s="153"/>
      <c r="N25" s="153"/>
      <c r="O25" s="153"/>
      <c r="P25" s="153"/>
      <c r="Q25" s="128"/>
      <c r="R25" s="79"/>
      <c r="S25" s="79"/>
      <c r="T25" s="79"/>
      <c r="U25" s="79"/>
      <c r="V25" s="79"/>
      <c r="W25" s="79"/>
      <c r="X25" s="79"/>
      <c r="Y25" s="79"/>
      <c r="Z25" s="79"/>
      <c r="AA25" s="79"/>
    </row>
    <row r="26" spans="1:27" ht="15.75" customHeight="1">
      <c r="A26" s="62"/>
      <c r="B26" s="62"/>
      <c r="C26" s="62"/>
      <c r="D26" s="79"/>
      <c r="E26" s="119"/>
      <c r="F26" s="164"/>
      <c r="G26" s="167"/>
      <c r="H26" s="165"/>
      <c r="I26" s="167"/>
      <c r="J26" s="166"/>
      <c r="K26" s="153"/>
      <c r="L26" s="153"/>
      <c r="M26" s="153"/>
      <c r="N26" s="153"/>
      <c r="O26" s="153"/>
      <c r="P26" s="153"/>
      <c r="Q26" s="128"/>
      <c r="R26" s="79"/>
      <c r="S26" s="79"/>
      <c r="T26" s="79"/>
      <c r="U26" s="79"/>
      <c r="V26" s="79"/>
      <c r="W26" s="79"/>
      <c r="X26" s="79"/>
      <c r="Y26" s="79"/>
      <c r="Z26" s="79"/>
      <c r="AA26" s="79"/>
    </row>
    <row r="27" spans="1:27" ht="15.75" customHeight="1">
      <c r="A27" s="62"/>
      <c r="B27" s="62"/>
      <c r="C27" s="62"/>
      <c r="D27" s="79"/>
      <c r="E27" s="119"/>
      <c r="F27" s="164"/>
      <c r="G27" s="163"/>
      <c r="H27" s="165"/>
      <c r="I27" s="163"/>
      <c r="J27" s="166"/>
      <c r="K27" s="153"/>
      <c r="L27" s="153"/>
      <c r="M27" s="153"/>
      <c r="N27" s="153"/>
      <c r="O27" s="153"/>
      <c r="P27" s="153"/>
      <c r="Q27" s="128"/>
      <c r="R27" s="79"/>
      <c r="S27" s="79"/>
      <c r="T27" s="79"/>
      <c r="U27" s="79"/>
      <c r="V27" s="79"/>
      <c r="W27" s="79"/>
      <c r="X27" s="79"/>
      <c r="Y27" s="79"/>
      <c r="Z27" s="79"/>
      <c r="AA27" s="79"/>
    </row>
    <row r="28" spans="1:27" ht="15.75" customHeight="1">
      <c r="A28" s="62"/>
      <c r="B28" s="62"/>
      <c r="C28" s="62"/>
      <c r="D28" s="79"/>
      <c r="E28" s="119"/>
      <c r="F28" s="164"/>
      <c r="G28" s="122"/>
      <c r="H28" s="165"/>
      <c r="I28" s="122"/>
      <c r="J28" s="166"/>
      <c r="K28" s="153"/>
      <c r="L28" s="153"/>
      <c r="M28" s="153"/>
      <c r="N28" s="153"/>
      <c r="O28" s="153"/>
      <c r="P28" s="153"/>
      <c r="Q28" s="128"/>
      <c r="R28" s="79"/>
      <c r="S28" s="79"/>
      <c r="T28" s="79"/>
      <c r="U28" s="79"/>
      <c r="V28" s="79"/>
      <c r="W28" s="79"/>
      <c r="X28" s="79"/>
      <c r="Y28" s="79"/>
      <c r="Z28" s="79"/>
      <c r="AA28" s="79"/>
    </row>
    <row r="29" spans="1:27" ht="15.75" customHeight="1">
      <c r="A29" s="62"/>
      <c r="B29" s="62"/>
      <c r="C29" s="62"/>
      <c r="D29" s="79"/>
      <c r="E29" s="119"/>
      <c r="F29" s="164"/>
      <c r="G29" s="163"/>
      <c r="H29" s="165"/>
      <c r="I29" s="163"/>
      <c r="J29" s="166"/>
      <c r="K29" s="153"/>
      <c r="L29" s="153"/>
      <c r="M29" s="153"/>
      <c r="N29" s="153"/>
      <c r="O29" s="153"/>
      <c r="P29" s="153"/>
      <c r="Q29" s="128"/>
      <c r="R29" s="79"/>
      <c r="S29" s="79"/>
      <c r="T29" s="79"/>
      <c r="U29" s="79"/>
      <c r="V29" s="79"/>
      <c r="W29" s="79"/>
      <c r="X29" s="79"/>
      <c r="Y29" s="79"/>
      <c r="Z29" s="79"/>
      <c r="AA29" s="79"/>
    </row>
    <row r="30" spans="1:27" ht="15.75" customHeight="1">
      <c r="A30" s="62"/>
      <c r="B30" s="62"/>
      <c r="C30" s="62"/>
      <c r="D30" s="79"/>
      <c r="E30" s="119"/>
      <c r="F30" s="164"/>
      <c r="G30" s="167"/>
      <c r="H30" s="165"/>
      <c r="I30" s="167"/>
      <c r="J30" s="166"/>
      <c r="K30" s="153"/>
      <c r="L30" s="153"/>
      <c r="M30" s="153"/>
      <c r="N30" s="153"/>
      <c r="O30" s="153"/>
      <c r="P30" s="153"/>
      <c r="Q30" s="128"/>
      <c r="R30" s="79"/>
      <c r="S30" s="79"/>
      <c r="T30" s="79"/>
      <c r="U30" s="79"/>
      <c r="V30" s="79"/>
      <c r="W30" s="79"/>
      <c r="X30" s="79"/>
      <c r="Y30" s="79"/>
      <c r="Z30" s="79"/>
      <c r="AA30" s="79"/>
    </row>
    <row r="31" spans="1:27" ht="15.75" customHeight="1">
      <c r="A31" s="62"/>
      <c r="B31" s="62"/>
      <c r="C31" s="62"/>
      <c r="D31" s="79"/>
      <c r="E31" s="119"/>
      <c r="F31" s="164"/>
      <c r="G31" s="163"/>
      <c r="H31" s="165"/>
      <c r="I31" s="163"/>
      <c r="J31" s="166"/>
      <c r="K31" s="153"/>
      <c r="L31" s="153"/>
      <c r="M31" s="153"/>
      <c r="N31" s="153"/>
      <c r="O31" s="153"/>
      <c r="P31" s="153"/>
      <c r="Q31" s="128"/>
      <c r="R31" s="79"/>
      <c r="S31" s="79"/>
      <c r="T31" s="79"/>
      <c r="U31" s="79"/>
      <c r="V31" s="79"/>
      <c r="W31" s="79"/>
      <c r="X31" s="79"/>
      <c r="Y31" s="79"/>
      <c r="Z31" s="79"/>
      <c r="AA31" s="79"/>
    </row>
    <row r="32" spans="1:27" ht="15.75" customHeight="1">
      <c r="A32" s="62"/>
      <c r="B32" s="62"/>
      <c r="C32" s="62"/>
      <c r="D32" s="79"/>
      <c r="E32" s="119"/>
      <c r="F32" s="164"/>
      <c r="G32" s="122"/>
      <c r="H32" s="165"/>
      <c r="I32" s="122"/>
      <c r="J32" s="166"/>
      <c r="K32" s="153"/>
      <c r="L32" s="153"/>
      <c r="M32" s="153"/>
      <c r="N32" s="153"/>
      <c r="O32" s="153"/>
      <c r="P32" s="153"/>
      <c r="Q32" s="128"/>
      <c r="R32" s="79"/>
      <c r="S32" s="79"/>
      <c r="T32" s="79"/>
      <c r="U32" s="79"/>
      <c r="V32" s="79"/>
      <c r="W32" s="79"/>
      <c r="X32" s="79"/>
      <c r="Y32" s="79"/>
      <c r="Z32" s="79"/>
      <c r="AA32" s="79"/>
    </row>
    <row r="33" spans="1:27" ht="15.75" customHeight="1">
      <c r="A33" s="62"/>
      <c r="B33" s="62"/>
      <c r="C33" s="62"/>
      <c r="D33" s="79"/>
      <c r="E33" s="119"/>
      <c r="F33" s="164"/>
      <c r="G33" s="163"/>
      <c r="H33" s="165"/>
      <c r="I33" s="163"/>
      <c r="J33" s="166"/>
      <c r="K33" s="153"/>
      <c r="L33" s="153"/>
      <c r="M33" s="153"/>
      <c r="N33" s="153"/>
      <c r="O33" s="153"/>
      <c r="P33" s="153"/>
      <c r="Q33" s="128"/>
      <c r="R33" s="79"/>
      <c r="S33" s="79"/>
      <c r="T33" s="79"/>
      <c r="U33" s="79"/>
      <c r="V33" s="79"/>
      <c r="W33" s="79"/>
      <c r="X33" s="79"/>
      <c r="Y33" s="79"/>
      <c r="Z33" s="79"/>
      <c r="AA33" s="79"/>
    </row>
    <row r="34" spans="1:27" ht="15.75" customHeight="1">
      <c r="A34" s="62"/>
      <c r="B34" s="62"/>
      <c r="C34" s="62"/>
      <c r="D34" s="79"/>
      <c r="E34" s="119"/>
      <c r="F34" s="164"/>
      <c r="G34" s="168"/>
      <c r="H34" s="169"/>
      <c r="I34" s="168"/>
      <c r="J34" s="170"/>
      <c r="K34" s="153"/>
      <c r="L34" s="153"/>
      <c r="M34" s="153"/>
      <c r="N34" s="153"/>
      <c r="O34" s="153"/>
      <c r="P34" s="153"/>
      <c r="Q34" s="128"/>
      <c r="R34" s="79"/>
      <c r="S34" s="79"/>
      <c r="T34" s="79"/>
      <c r="U34" s="79"/>
      <c r="V34" s="79"/>
      <c r="W34" s="79"/>
      <c r="X34" s="79"/>
      <c r="Y34" s="79"/>
      <c r="Z34" s="79"/>
      <c r="AA34" s="79"/>
    </row>
    <row r="35" spans="1:27" ht="15.75" customHeight="1">
      <c r="A35" s="62"/>
      <c r="B35" s="62"/>
      <c r="C35" s="62"/>
      <c r="D35" s="79"/>
      <c r="E35" s="119"/>
      <c r="F35" s="153"/>
      <c r="G35" s="153"/>
      <c r="H35" s="153"/>
      <c r="I35" s="153"/>
      <c r="J35" s="153"/>
      <c r="K35" s="153"/>
      <c r="L35" s="153"/>
      <c r="M35" s="153"/>
      <c r="N35" s="153"/>
      <c r="O35" s="153"/>
      <c r="P35" s="153"/>
      <c r="Q35" s="128"/>
      <c r="R35" s="79"/>
      <c r="S35" s="79"/>
      <c r="T35" s="79"/>
      <c r="U35" s="79"/>
      <c r="V35" s="79"/>
      <c r="W35" s="79"/>
      <c r="X35" s="79"/>
      <c r="Y35" s="79"/>
      <c r="Z35" s="79"/>
      <c r="AA35" s="79"/>
    </row>
    <row r="36" spans="1:27" ht="15.75" customHeight="1">
      <c r="A36" s="62"/>
      <c r="B36" s="62"/>
      <c r="C36" s="62"/>
      <c r="D36" s="79"/>
      <c r="E36" s="119"/>
      <c r="F36" s="153"/>
      <c r="G36" s="153"/>
      <c r="H36" s="153"/>
      <c r="I36" s="153"/>
      <c r="J36" s="153"/>
      <c r="K36" s="153"/>
      <c r="L36" s="153"/>
      <c r="M36" s="153"/>
      <c r="N36" s="153"/>
      <c r="O36" s="153"/>
      <c r="P36" s="153"/>
      <c r="Q36" s="128"/>
      <c r="R36" s="79"/>
      <c r="S36" s="79"/>
      <c r="T36" s="79"/>
      <c r="U36" s="79"/>
      <c r="V36" s="79"/>
      <c r="W36" s="79"/>
      <c r="X36" s="79"/>
      <c r="Y36" s="79"/>
      <c r="Z36" s="79"/>
      <c r="AA36" s="79"/>
    </row>
    <row r="37" spans="1:27" ht="15.75" customHeight="1">
      <c r="A37" s="62"/>
      <c r="B37" s="62"/>
      <c r="C37" s="62"/>
      <c r="D37" s="79"/>
      <c r="E37" s="119"/>
      <c r="F37" s="153"/>
      <c r="G37" s="153"/>
      <c r="H37" s="153"/>
      <c r="I37" s="153"/>
      <c r="J37" s="153"/>
      <c r="K37" s="153"/>
      <c r="L37" s="153"/>
      <c r="M37" s="153"/>
      <c r="N37" s="153"/>
      <c r="O37" s="153"/>
      <c r="P37" s="153"/>
      <c r="Q37" s="128"/>
    </row>
    <row r="38" spans="1:27" ht="15.75" customHeight="1">
      <c r="A38" s="62"/>
      <c r="B38" s="62"/>
      <c r="C38" s="62"/>
      <c r="D38" s="79"/>
      <c r="E38" s="119"/>
      <c r="F38" s="153"/>
      <c r="G38" s="153"/>
      <c r="H38" s="153"/>
      <c r="I38" s="153"/>
      <c r="J38" s="153"/>
      <c r="K38" s="153"/>
      <c r="L38" s="153"/>
      <c r="M38" s="153"/>
      <c r="N38" s="153"/>
      <c r="O38" s="153"/>
      <c r="P38" s="153"/>
      <c r="Q38" s="128"/>
    </row>
    <row r="39" spans="1:27" ht="15.75" customHeight="1">
      <c r="A39" s="62"/>
      <c r="B39" s="62"/>
      <c r="C39" s="62"/>
      <c r="D39" s="79"/>
      <c r="E39" s="119"/>
      <c r="F39" s="153"/>
      <c r="G39" s="153"/>
      <c r="H39" s="153"/>
      <c r="I39" s="153"/>
      <c r="J39" s="153"/>
      <c r="K39" s="153"/>
      <c r="L39" s="153"/>
      <c r="M39" s="153"/>
      <c r="N39" s="153"/>
      <c r="O39" s="153"/>
      <c r="P39" s="153"/>
      <c r="Q39" s="160"/>
    </row>
    <row r="40" spans="1:27" ht="15.75" customHeight="1">
      <c r="A40" s="62"/>
      <c r="B40" s="62"/>
      <c r="C40" s="62"/>
      <c r="D40" s="79"/>
      <c r="E40" s="119"/>
      <c r="F40" s="153"/>
      <c r="G40" s="153"/>
      <c r="H40" s="153"/>
      <c r="I40" s="153"/>
      <c r="J40" s="153"/>
      <c r="K40" s="153"/>
      <c r="L40" s="153"/>
      <c r="M40" s="153"/>
      <c r="N40" s="153"/>
      <c r="O40" s="153"/>
      <c r="P40" s="153"/>
      <c r="Q40" s="160"/>
    </row>
    <row r="41" spans="1:27" ht="15.75" customHeight="1">
      <c r="A41" s="62"/>
      <c r="B41" s="62"/>
      <c r="C41" s="62"/>
      <c r="D41" s="79"/>
      <c r="E41" s="119"/>
      <c r="F41" s="153"/>
      <c r="G41" s="153"/>
      <c r="H41" s="153"/>
      <c r="I41" s="153"/>
      <c r="J41" s="153"/>
      <c r="K41" s="153"/>
      <c r="L41" s="153"/>
      <c r="M41" s="153"/>
      <c r="N41" s="153"/>
      <c r="O41" s="153"/>
      <c r="P41" s="153"/>
      <c r="Q41" s="160"/>
    </row>
    <row r="42" spans="1:27" ht="15.75" customHeight="1">
      <c r="A42" s="62"/>
      <c r="B42" s="62"/>
      <c r="C42" s="62"/>
      <c r="D42" s="79"/>
      <c r="E42" s="130"/>
      <c r="F42" s="13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2"/>
    </row>
    <row r="43" spans="1:27" ht="15.75" customHeight="1">
      <c r="A43" s="62"/>
      <c r="B43" s="62"/>
      <c r="C43" s="62"/>
      <c r="D43" s="79"/>
      <c r="E43" s="86"/>
      <c r="F43" s="86"/>
    </row>
    <row r="44" spans="1:27" ht="15.75" customHeight="1">
      <c r="A44" s="62"/>
      <c r="B44" s="62"/>
      <c r="C44" s="62"/>
      <c r="D44" s="79"/>
      <c r="E44" s="86"/>
      <c r="F44" s="86"/>
    </row>
    <row r="45" spans="1:27" ht="15.75" customHeight="1">
      <c r="D45" s="79"/>
      <c r="E45" s="86"/>
      <c r="F45" s="86"/>
    </row>
    <row r="46" spans="1:27" ht="15.75" customHeight="1">
      <c r="D46" s="79"/>
      <c r="E46" s="86"/>
      <c r="F46" s="86"/>
    </row>
    <row r="61" spans="7:19" ht="15.75" customHeight="1">
      <c r="H61" s="240" t="s">
        <v>16</v>
      </c>
      <c r="I61" s="240"/>
      <c r="J61" s="240"/>
      <c r="K61" s="240"/>
      <c r="L61" s="240"/>
      <c r="M61" s="240"/>
      <c r="N61" s="240"/>
      <c r="O61" s="240"/>
      <c r="P61" s="240"/>
      <c r="Q61" s="240"/>
      <c r="R61" s="240"/>
      <c r="S61" s="240"/>
    </row>
    <row r="62" spans="7:19" ht="15.75" customHeight="1">
      <c r="G62" s="133" t="s">
        <v>9</v>
      </c>
      <c r="H62" s="134">
        <v>1</v>
      </c>
      <c r="I62" s="134"/>
      <c r="J62" s="134">
        <v>2</v>
      </c>
      <c r="K62" s="134">
        <v>3</v>
      </c>
      <c r="L62" s="134"/>
      <c r="M62" s="134">
        <v>5</v>
      </c>
      <c r="N62" s="134">
        <v>6</v>
      </c>
      <c r="O62" s="134"/>
      <c r="P62" s="134">
        <v>7</v>
      </c>
      <c r="Q62" s="134">
        <v>8</v>
      </c>
      <c r="R62" s="134">
        <v>9</v>
      </c>
      <c r="S62" s="134">
        <v>10</v>
      </c>
    </row>
    <row r="63" spans="7:19" ht="15.75" customHeight="1">
      <c r="G63" s="133" t="s">
        <v>1</v>
      </c>
      <c r="H63" s="55">
        <v>80900</v>
      </c>
      <c r="I63" s="55"/>
      <c r="J63" s="55">
        <v>50000</v>
      </c>
      <c r="K63" s="55"/>
      <c r="L63" s="55"/>
      <c r="M63" s="55"/>
      <c r="N63" s="55"/>
      <c r="O63" s="55"/>
      <c r="P63" s="55"/>
      <c r="Q63" s="55"/>
      <c r="R63" s="55"/>
      <c r="S63" s="55"/>
    </row>
    <row r="64" spans="7:19" ht="15.75" customHeight="1">
      <c r="G64" s="133" t="s">
        <v>2</v>
      </c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55"/>
      <c r="S64" s="55"/>
    </row>
    <row r="65" spans="7:19" ht="15.75" customHeight="1">
      <c r="G65" s="133" t="s">
        <v>3</v>
      </c>
      <c r="H65" s="55"/>
      <c r="I65" s="55"/>
      <c r="J65" s="55"/>
      <c r="K65" s="55"/>
      <c r="L65" s="55"/>
      <c r="M65" s="55"/>
      <c r="N65" s="55"/>
      <c r="O65" s="55"/>
      <c r="P65" s="55"/>
      <c r="Q65" s="55"/>
      <c r="R65" s="55"/>
      <c r="S65" s="55"/>
    </row>
    <row r="66" spans="7:19" ht="15.75" customHeight="1">
      <c r="G66" s="133" t="s">
        <v>4</v>
      </c>
      <c r="H66" s="55"/>
      <c r="I66" s="55"/>
      <c r="J66" s="55"/>
      <c r="K66" s="55"/>
      <c r="L66" s="55"/>
      <c r="M66" s="55"/>
      <c r="N66" s="55"/>
      <c r="O66" s="55"/>
      <c r="P66" s="55"/>
      <c r="Q66" s="55"/>
      <c r="R66" s="55"/>
      <c r="S66" s="55"/>
    </row>
    <row r="67" spans="7:19" ht="15.75" customHeight="1">
      <c r="G67" s="133" t="s">
        <v>5</v>
      </c>
      <c r="H67" s="55"/>
      <c r="I67" s="55"/>
      <c r="J67" s="55"/>
      <c r="K67" s="55"/>
      <c r="L67" s="55"/>
      <c r="M67" s="55"/>
      <c r="N67" s="55"/>
      <c r="O67" s="55"/>
      <c r="P67" s="55"/>
      <c r="Q67" s="55"/>
      <c r="R67" s="55"/>
      <c r="S67" s="55"/>
    </row>
    <row r="68" spans="7:19" ht="15.75" customHeight="1">
      <c r="G68" s="133" t="s">
        <v>6</v>
      </c>
      <c r="H68" s="55"/>
      <c r="I68" s="55"/>
      <c r="J68" s="55"/>
      <c r="K68" s="55"/>
      <c r="L68" s="55"/>
      <c r="M68" s="55"/>
      <c r="N68" s="55"/>
      <c r="O68" s="55"/>
      <c r="P68" s="55"/>
      <c r="Q68" s="55"/>
      <c r="R68" s="55"/>
      <c r="S68" s="55"/>
    </row>
    <row r="69" spans="7:19" ht="15.75" customHeight="1">
      <c r="G69" s="133" t="s">
        <v>7</v>
      </c>
      <c r="H69" s="55"/>
      <c r="I69" s="55"/>
      <c r="J69" s="55"/>
      <c r="K69" s="55"/>
      <c r="L69" s="55"/>
      <c r="M69" s="55"/>
      <c r="N69" s="55"/>
      <c r="O69" s="55"/>
      <c r="P69" s="55"/>
      <c r="Q69" s="55"/>
      <c r="R69" s="55"/>
      <c r="S69" s="55"/>
    </row>
    <row r="86" spans="7:25" ht="15.75" customHeight="1">
      <c r="G86" s="251" t="s">
        <v>15</v>
      </c>
      <c r="H86" s="251"/>
      <c r="I86" s="251"/>
      <c r="J86" s="251"/>
      <c r="K86" s="43"/>
      <c r="L86" s="43"/>
      <c r="N86" s="252" t="s">
        <v>11</v>
      </c>
      <c r="O86" s="252"/>
      <c r="P86" s="252"/>
      <c r="Q86" s="252"/>
      <c r="R86" s="252"/>
      <c r="S86" s="252"/>
      <c r="U86" s="252" t="s">
        <v>28</v>
      </c>
      <c r="V86" s="252"/>
      <c r="W86" s="252"/>
      <c r="X86" s="252"/>
      <c r="Y86" s="252"/>
    </row>
    <row r="87" spans="7:25" ht="15.75" customHeight="1">
      <c r="G87" s="133" t="s">
        <v>0</v>
      </c>
      <c r="H87" s="133" t="s">
        <v>9</v>
      </c>
      <c r="I87" s="133"/>
      <c r="J87" s="133" t="s">
        <v>30</v>
      </c>
      <c r="K87" s="133" t="s">
        <v>36</v>
      </c>
      <c r="L87" s="100"/>
      <c r="N87" s="252"/>
      <c r="O87" s="252"/>
      <c r="P87" s="252"/>
      <c r="Q87" s="252"/>
      <c r="R87" s="252"/>
      <c r="S87" s="252"/>
      <c r="U87" s="252"/>
      <c r="V87" s="252"/>
      <c r="W87" s="252"/>
      <c r="X87" s="252"/>
      <c r="Y87" s="252"/>
    </row>
    <row r="88" spans="7:25" ht="15.75" customHeight="1">
      <c r="G88" s="133">
        <v>1</v>
      </c>
      <c r="H88" s="133" t="s">
        <v>1</v>
      </c>
      <c r="I88" s="133"/>
      <c r="J88" s="45">
        <v>900000</v>
      </c>
      <c r="K88" s="45">
        <f>J88/2</f>
        <v>450000</v>
      </c>
      <c r="L88" s="101"/>
      <c r="N88" s="241">
        <v>6000000</v>
      </c>
      <c r="O88" s="242"/>
      <c r="P88" s="242"/>
      <c r="Q88" s="242"/>
      <c r="R88" s="242"/>
      <c r="S88" s="243"/>
      <c r="U88" s="241">
        <v>6000000</v>
      </c>
      <c r="V88" s="242"/>
      <c r="W88" s="242"/>
      <c r="X88" s="242"/>
      <c r="Y88" s="243"/>
    </row>
    <row r="89" spans="7:25" ht="15.75" customHeight="1">
      <c r="G89" s="133">
        <v>2</v>
      </c>
      <c r="H89" s="133" t="s">
        <v>2</v>
      </c>
      <c r="I89" s="133"/>
      <c r="J89" s="45">
        <v>800000</v>
      </c>
      <c r="K89" s="45">
        <f t="shared" ref="K89:K94" si="0">J89/2</f>
        <v>400000</v>
      </c>
      <c r="L89" s="101"/>
      <c r="N89" s="244"/>
      <c r="O89" s="245"/>
      <c r="P89" s="245"/>
      <c r="Q89" s="245"/>
      <c r="R89" s="245"/>
      <c r="S89" s="246"/>
      <c r="U89" s="244"/>
      <c r="V89" s="245"/>
      <c r="W89" s="245"/>
      <c r="X89" s="245"/>
      <c r="Y89" s="246"/>
    </row>
    <row r="90" spans="7:25" ht="15.75" customHeight="1">
      <c r="G90" s="133">
        <v>3</v>
      </c>
      <c r="H90" s="133" t="s">
        <v>3</v>
      </c>
      <c r="I90" s="133"/>
      <c r="J90" s="45">
        <v>900000</v>
      </c>
      <c r="K90" s="45">
        <f t="shared" si="0"/>
        <v>450000</v>
      </c>
      <c r="L90" s="101"/>
      <c r="N90" s="244"/>
      <c r="O90" s="245"/>
      <c r="P90" s="245"/>
      <c r="Q90" s="245"/>
      <c r="R90" s="245"/>
      <c r="S90" s="246"/>
      <c r="U90" s="244"/>
      <c r="V90" s="245"/>
      <c r="W90" s="245"/>
      <c r="X90" s="245"/>
      <c r="Y90" s="246"/>
    </row>
    <row r="91" spans="7:25" ht="15.75" customHeight="1">
      <c r="G91" s="133">
        <v>4</v>
      </c>
      <c r="H91" s="133" t="s">
        <v>4</v>
      </c>
      <c r="I91" s="133"/>
      <c r="J91" s="45">
        <v>1000000</v>
      </c>
      <c r="K91" s="45">
        <f t="shared" si="0"/>
        <v>500000</v>
      </c>
      <c r="L91" s="101"/>
      <c r="N91" s="244"/>
      <c r="O91" s="245"/>
      <c r="P91" s="245"/>
      <c r="Q91" s="245"/>
      <c r="R91" s="245"/>
      <c r="S91" s="246"/>
      <c r="U91" s="244"/>
      <c r="V91" s="245"/>
      <c r="W91" s="245"/>
      <c r="X91" s="245"/>
      <c r="Y91" s="246"/>
    </row>
    <row r="92" spans="7:25" ht="15.75" customHeight="1">
      <c r="G92" s="133">
        <v>5</v>
      </c>
      <c r="H92" s="133" t="s">
        <v>5</v>
      </c>
      <c r="I92" s="133"/>
      <c r="J92" s="45">
        <v>400000</v>
      </c>
      <c r="K92" s="45">
        <f t="shared" si="0"/>
        <v>200000</v>
      </c>
      <c r="L92" s="101"/>
      <c r="N92" s="244"/>
      <c r="O92" s="245"/>
      <c r="P92" s="245"/>
      <c r="Q92" s="245"/>
      <c r="R92" s="245"/>
      <c r="S92" s="246"/>
      <c r="U92" s="244"/>
      <c r="V92" s="245"/>
      <c r="W92" s="245"/>
      <c r="X92" s="245"/>
      <c r="Y92" s="246"/>
    </row>
    <row r="93" spans="7:25" ht="15.75" customHeight="1">
      <c r="G93" s="133">
        <v>6</v>
      </c>
      <c r="H93" s="133" t="s">
        <v>6</v>
      </c>
      <c r="I93" s="133"/>
      <c r="J93" s="45">
        <v>100000</v>
      </c>
      <c r="K93" s="45">
        <f t="shared" si="0"/>
        <v>50000</v>
      </c>
      <c r="L93" s="101"/>
      <c r="N93" s="244"/>
      <c r="O93" s="245"/>
      <c r="P93" s="245"/>
      <c r="Q93" s="245"/>
      <c r="R93" s="245"/>
      <c r="S93" s="246"/>
      <c r="U93" s="244"/>
      <c r="V93" s="245"/>
      <c r="W93" s="245"/>
      <c r="X93" s="245"/>
      <c r="Y93" s="246"/>
    </row>
    <row r="94" spans="7:25" ht="15.75" customHeight="1">
      <c r="G94" s="133">
        <v>7</v>
      </c>
      <c r="H94" s="133" t="s">
        <v>7</v>
      </c>
      <c r="I94" s="133"/>
      <c r="J94" s="45">
        <v>100000</v>
      </c>
      <c r="K94" s="45">
        <f t="shared" si="0"/>
        <v>50000</v>
      </c>
      <c r="L94" s="101"/>
      <c r="N94" s="244"/>
      <c r="O94" s="245"/>
      <c r="P94" s="245"/>
      <c r="Q94" s="245"/>
      <c r="R94" s="245"/>
      <c r="S94" s="246"/>
      <c r="U94" s="244"/>
      <c r="V94" s="245"/>
      <c r="W94" s="245"/>
      <c r="X94" s="245"/>
      <c r="Y94" s="246"/>
    </row>
    <row r="95" spans="7:25" ht="15.75" customHeight="1">
      <c r="G95" s="46"/>
      <c r="H95" s="47" t="s">
        <v>10</v>
      </c>
      <c r="I95" s="47"/>
      <c r="J95" s="48">
        <f>SUM(J88:J94)</f>
        <v>4200000</v>
      </c>
      <c r="K95" s="48">
        <f>SUM(K88:K94)</f>
        <v>2100000</v>
      </c>
      <c r="L95" s="102"/>
      <c r="N95" s="247"/>
      <c r="O95" s="248"/>
      <c r="P95" s="248"/>
      <c r="Q95" s="248"/>
      <c r="R95" s="248"/>
      <c r="S95" s="249"/>
      <c r="U95" s="247"/>
      <c r="V95" s="248"/>
      <c r="W95" s="248"/>
      <c r="X95" s="248"/>
      <c r="Y95" s="249"/>
    </row>
    <row r="97" spans="7:25" ht="15.75" customHeight="1">
      <c r="G97" s="250" t="s">
        <v>12</v>
      </c>
      <c r="H97" s="250"/>
      <c r="I97" s="250"/>
      <c r="J97" s="250"/>
      <c r="K97" s="250"/>
      <c r="L97" s="100"/>
      <c r="N97" s="252" t="s">
        <v>29</v>
      </c>
      <c r="O97" s="252"/>
      <c r="P97" s="252"/>
      <c r="Q97" s="252"/>
      <c r="R97" s="252"/>
      <c r="S97" s="252"/>
      <c r="U97" s="259" t="s">
        <v>27</v>
      </c>
      <c r="V97" s="260"/>
      <c r="W97" s="260"/>
      <c r="X97" s="260"/>
      <c r="Y97" s="261"/>
    </row>
    <row r="98" spans="7:25" ht="15.75" customHeight="1">
      <c r="G98" s="133" t="s">
        <v>0</v>
      </c>
      <c r="H98" s="133" t="s">
        <v>13</v>
      </c>
      <c r="I98" s="133"/>
      <c r="J98" s="133" t="s">
        <v>9</v>
      </c>
      <c r="K98" s="133" t="s">
        <v>8</v>
      </c>
      <c r="L98" s="100"/>
      <c r="N98" s="252"/>
      <c r="O98" s="252"/>
      <c r="P98" s="252"/>
      <c r="Q98" s="252"/>
      <c r="R98" s="252"/>
      <c r="S98" s="252"/>
      <c r="U98" s="262"/>
      <c r="V98" s="263"/>
      <c r="W98" s="263"/>
      <c r="X98" s="263"/>
      <c r="Y98" s="264"/>
    </row>
    <row r="99" spans="7:25" ht="15.75" customHeight="1">
      <c r="G99" s="133">
        <v>1</v>
      </c>
      <c r="H99" s="133" t="s">
        <v>14</v>
      </c>
      <c r="I99" s="133"/>
      <c r="J99" s="133" t="s">
        <v>4</v>
      </c>
      <c r="K99" s="45">
        <v>2500000</v>
      </c>
      <c r="L99" s="101"/>
      <c r="N99" s="241">
        <v>6000000</v>
      </c>
      <c r="O99" s="242"/>
      <c r="P99" s="242"/>
      <c r="Q99" s="242"/>
      <c r="R99" s="242"/>
      <c r="S99" s="243"/>
      <c r="U99" s="241">
        <v>6000000</v>
      </c>
      <c r="V99" s="242"/>
      <c r="W99" s="242"/>
      <c r="X99" s="242"/>
      <c r="Y99" s="243"/>
    </row>
    <row r="100" spans="7:25" ht="15.75" customHeight="1">
      <c r="G100" s="133">
        <v>2</v>
      </c>
      <c r="H100" s="50" t="s">
        <v>22</v>
      </c>
      <c r="I100" s="50"/>
      <c r="J100" s="133" t="s">
        <v>4</v>
      </c>
      <c r="K100" s="45">
        <v>500000</v>
      </c>
      <c r="L100" s="101"/>
      <c r="N100" s="244"/>
      <c r="O100" s="245"/>
      <c r="P100" s="245"/>
      <c r="Q100" s="245"/>
      <c r="R100" s="245"/>
      <c r="S100" s="246"/>
      <c r="U100" s="244"/>
      <c r="V100" s="245"/>
      <c r="W100" s="245"/>
      <c r="X100" s="245"/>
      <c r="Y100" s="246"/>
    </row>
    <row r="101" spans="7:25" ht="15.75" customHeight="1">
      <c r="G101" s="133"/>
      <c r="H101" s="50"/>
      <c r="I101" s="50"/>
      <c r="J101" s="133"/>
      <c r="K101" s="45"/>
      <c r="L101" s="101"/>
      <c r="N101" s="244"/>
      <c r="O101" s="245"/>
      <c r="P101" s="245"/>
      <c r="Q101" s="245"/>
      <c r="R101" s="245"/>
      <c r="S101" s="246"/>
      <c r="U101" s="244"/>
      <c r="V101" s="245"/>
      <c r="W101" s="245"/>
      <c r="X101" s="245"/>
      <c r="Y101" s="246"/>
    </row>
    <row r="102" spans="7:25" ht="15.75" customHeight="1">
      <c r="G102" s="51"/>
      <c r="H102" s="51"/>
      <c r="I102" s="51"/>
      <c r="J102" s="52"/>
      <c r="K102" s="52"/>
      <c r="L102" s="103"/>
      <c r="N102" s="244"/>
      <c r="O102" s="245"/>
      <c r="P102" s="245"/>
      <c r="Q102" s="245"/>
      <c r="R102" s="245"/>
      <c r="S102" s="246"/>
      <c r="U102" s="244"/>
      <c r="V102" s="245"/>
      <c r="W102" s="245"/>
      <c r="X102" s="245"/>
      <c r="Y102" s="246"/>
    </row>
    <row r="103" spans="7:25" ht="15.75" customHeight="1">
      <c r="G103" s="51"/>
      <c r="H103" s="51"/>
      <c r="I103" s="51"/>
      <c r="J103" s="52"/>
      <c r="K103" s="52"/>
      <c r="L103" s="103"/>
      <c r="N103" s="244"/>
      <c r="O103" s="245"/>
      <c r="P103" s="245"/>
      <c r="Q103" s="245"/>
      <c r="R103" s="245"/>
      <c r="S103" s="246"/>
      <c r="U103" s="244"/>
      <c r="V103" s="245"/>
      <c r="W103" s="245"/>
      <c r="X103" s="245"/>
      <c r="Y103" s="246"/>
    </row>
    <row r="104" spans="7:25" ht="15.75" customHeight="1">
      <c r="G104" s="51"/>
      <c r="H104" s="51"/>
      <c r="I104" s="51"/>
      <c r="J104" s="52"/>
      <c r="K104" s="52"/>
      <c r="L104" s="103"/>
      <c r="N104" s="244"/>
      <c r="O104" s="245"/>
      <c r="P104" s="245"/>
      <c r="Q104" s="245"/>
      <c r="R104" s="245"/>
      <c r="S104" s="246"/>
      <c r="U104" s="244"/>
      <c r="V104" s="245"/>
      <c r="W104" s="245"/>
      <c r="X104" s="245"/>
      <c r="Y104" s="246"/>
    </row>
    <row r="105" spans="7:25" ht="15.75" customHeight="1">
      <c r="G105" s="53"/>
      <c r="H105" s="53"/>
      <c r="I105" s="53"/>
      <c r="J105" s="53" t="s">
        <v>10</v>
      </c>
      <c r="K105" s="54">
        <f>SUM(K99:K101)</f>
        <v>3000000</v>
      </c>
      <c r="L105" s="104"/>
      <c r="N105" s="244"/>
      <c r="O105" s="245"/>
      <c r="P105" s="245"/>
      <c r="Q105" s="245"/>
      <c r="R105" s="245"/>
      <c r="S105" s="246"/>
      <c r="U105" s="244"/>
      <c r="V105" s="245"/>
      <c r="W105" s="245"/>
      <c r="X105" s="245"/>
      <c r="Y105" s="246"/>
    </row>
    <row r="106" spans="7:25" ht="15.75" customHeight="1">
      <c r="N106" s="247"/>
      <c r="O106" s="248"/>
      <c r="P106" s="248"/>
      <c r="Q106" s="248"/>
      <c r="R106" s="248"/>
      <c r="S106" s="249"/>
      <c r="U106" s="247"/>
      <c r="V106" s="248"/>
      <c r="W106" s="248"/>
      <c r="X106" s="248"/>
      <c r="Y106" s="249"/>
    </row>
    <row r="108" spans="7:25" ht="15.75" customHeight="1">
      <c r="G108" s="251" t="s">
        <v>31</v>
      </c>
      <c r="H108" s="251"/>
      <c r="I108" s="251"/>
      <c r="J108" s="251"/>
    </row>
    <row r="109" spans="7:25" ht="15.75" customHeight="1">
      <c r="G109" s="133" t="s">
        <v>0</v>
      </c>
      <c r="H109" s="133" t="s">
        <v>9</v>
      </c>
      <c r="I109" s="133"/>
      <c r="J109" s="133" t="s">
        <v>8</v>
      </c>
    </row>
    <row r="110" spans="7:25" ht="15.75" customHeight="1">
      <c r="G110" s="133">
        <v>1</v>
      </c>
      <c r="H110" s="133" t="s">
        <v>1</v>
      </c>
      <c r="I110" s="133"/>
      <c r="J110" s="45">
        <f>850000-H63-J63</f>
        <v>719100</v>
      </c>
    </row>
    <row r="111" spans="7:25" ht="15.75" customHeight="1">
      <c r="G111" s="133">
        <v>2</v>
      </c>
      <c r="H111" s="133" t="s">
        <v>2</v>
      </c>
      <c r="I111" s="133"/>
      <c r="J111" s="45">
        <v>800000</v>
      </c>
    </row>
    <row r="112" spans="7:25" ht="15.75" customHeight="1">
      <c r="G112" s="133">
        <v>3</v>
      </c>
      <c r="H112" s="133" t="s">
        <v>3</v>
      </c>
      <c r="I112" s="133"/>
      <c r="J112" s="45">
        <v>850000</v>
      </c>
    </row>
    <row r="113" spans="7:12" ht="15.75" customHeight="1">
      <c r="G113" s="133">
        <v>4</v>
      </c>
      <c r="H113" s="133" t="s">
        <v>4</v>
      </c>
      <c r="I113" s="133"/>
      <c r="J113" s="45">
        <v>1000000</v>
      </c>
    </row>
    <row r="114" spans="7:12" ht="15.75" customHeight="1">
      <c r="G114" s="133">
        <v>5</v>
      </c>
      <c r="H114" s="133" t="s">
        <v>5</v>
      </c>
      <c r="I114" s="133"/>
      <c r="J114" s="45">
        <v>500000</v>
      </c>
    </row>
    <row r="115" spans="7:12" ht="15.75" customHeight="1">
      <c r="G115" s="133">
        <v>6</v>
      </c>
      <c r="H115" s="133" t="s">
        <v>6</v>
      </c>
      <c r="I115" s="133"/>
      <c r="J115" s="45">
        <v>100000</v>
      </c>
    </row>
    <row r="116" spans="7:12" ht="15.75" customHeight="1">
      <c r="G116" s="133">
        <v>7</v>
      </c>
      <c r="H116" s="133" t="s">
        <v>7</v>
      </c>
      <c r="I116" s="133"/>
      <c r="J116" s="45">
        <v>100000</v>
      </c>
    </row>
    <row r="117" spans="7:12" ht="15.75" customHeight="1">
      <c r="G117" s="133">
        <v>8</v>
      </c>
      <c r="H117" s="133" t="s">
        <v>32</v>
      </c>
      <c r="I117" s="133"/>
      <c r="J117" s="45"/>
    </row>
    <row r="118" spans="7:12" ht="15.75" customHeight="1">
      <c r="G118" s="133">
        <v>9</v>
      </c>
      <c r="H118" s="133" t="s">
        <v>33</v>
      </c>
      <c r="I118" s="133"/>
      <c r="J118" s="45"/>
    </row>
    <row r="119" spans="7:12" ht="15.75" customHeight="1">
      <c r="G119" s="133">
        <v>10</v>
      </c>
      <c r="H119" s="133" t="s">
        <v>34</v>
      </c>
      <c r="I119" s="133"/>
      <c r="J119" s="45"/>
    </row>
    <row r="120" spans="7:12" ht="15.75" customHeight="1">
      <c r="G120" s="133">
        <v>11</v>
      </c>
      <c r="H120" s="133" t="s">
        <v>35</v>
      </c>
      <c r="I120" s="133"/>
      <c r="J120" s="45"/>
    </row>
    <row r="121" spans="7:12" ht="15.75" customHeight="1">
      <c r="G121" s="133">
        <v>12</v>
      </c>
      <c r="H121" s="133" t="s">
        <v>12</v>
      </c>
      <c r="I121" s="133"/>
      <c r="J121" s="45">
        <f>K105</f>
        <v>3000000</v>
      </c>
    </row>
    <row r="122" spans="7:12" ht="15.75" customHeight="1">
      <c r="G122" s="150">
        <v>45553</v>
      </c>
      <c r="H122" s="149" t="s">
        <v>89</v>
      </c>
      <c r="I122" s="149">
        <v>30000000</v>
      </c>
      <c r="J122" s="48" t="s">
        <v>1</v>
      </c>
      <c r="K122" s="41" t="s">
        <v>91</v>
      </c>
    </row>
    <row r="123" spans="7:12" ht="15.75" customHeight="1">
      <c r="G123" s="41" t="s">
        <v>92</v>
      </c>
      <c r="H123" s="41">
        <v>1</v>
      </c>
      <c r="I123" s="41">
        <v>2</v>
      </c>
      <c r="J123" s="41" t="s">
        <v>5</v>
      </c>
      <c r="K123" s="41">
        <v>123</v>
      </c>
    </row>
    <row r="125" spans="7:12" ht="15.75" customHeight="1">
      <c r="J125" s="55"/>
      <c r="K125" s="55"/>
      <c r="L125" s="55"/>
    </row>
  </sheetData>
  <mergeCells count="24">
    <mergeCell ref="G108:J108"/>
    <mergeCell ref="H61:S61"/>
    <mergeCell ref="G86:J86"/>
    <mergeCell ref="N86:S87"/>
    <mergeCell ref="U86:Y87"/>
    <mergeCell ref="N88:S95"/>
    <mergeCell ref="U88:Y95"/>
    <mergeCell ref="G97:K97"/>
    <mergeCell ref="N97:S98"/>
    <mergeCell ref="U97:Y98"/>
    <mergeCell ref="N99:S106"/>
    <mergeCell ref="U99:Y106"/>
    <mergeCell ref="X6:Y6"/>
    <mergeCell ref="L7:M7"/>
    <mergeCell ref="O7:P7"/>
    <mergeCell ref="L9:M9"/>
    <mergeCell ref="O9:P9"/>
    <mergeCell ref="R6:T6"/>
    <mergeCell ref="U6:W6"/>
    <mergeCell ref="F7:J7"/>
    <mergeCell ref="E2:P2"/>
    <mergeCell ref="B4:C5"/>
    <mergeCell ref="J6:M6"/>
    <mergeCell ref="N6:Q6"/>
  </mergeCells>
  <conditionalFormatting sqref="C7">
    <cfRule type="iconSet" priority="1">
      <iconSet>
        <cfvo type="percent" val="0"/>
        <cfvo type="percent" val="33"/>
        <cfvo type="percent" val="67"/>
      </iconSet>
    </cfRule>
    <cfRule type="colorScale" priority="2">
      <colorScale>
        <cfvo type="min"/>
        <cfvo type="max"/>
        <color rgb="FFFF7128"/>
        <color rgb="FFFFEF9C"/>
      </colorScale>
    </cfRule>
  </conditionalFormatting>
  <hyperlinks>
    <hyperlink ref="C7" location="'DASHBOARD BULANAN'!A1" display="Dashboard Bulanan" xr:uid="{00000000-0004-0000-0400-000000000000}"/>
  </hyperlink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B4:O51"/>
  <sheetViews>
    <sheetView zoomScale="115" zoomScaleNormal="115" workbookViewId="0">
      <selection activeCell="B40" sqref="B40"/>
    </sheetView>
  </sheetViews>
  <sheetFormatPr defaultRowHeight="12.5"/>
  <cols>
    <col min="2" max="2" width="27" customWidth="1"/>
    <col min="5" max="5" width="34.453125" customWidth="1"/>
    <col min="6" max="6" width="15.7265625" customWidth="1"/>
    <col min="9" max="9" width="24.1796875" customWidth="1"/>
    <col min="10" max="10" width="37.453125" customWidth="1"/>
    <col min="11" max="11" width="28.453125" customWidth="1"/>
    <col min="12" max="12" width="17.1796875" customWidth="1"/>
    <col min="13" max="13" width="15" customWidth="1"/>
  </cols>
  <sheetData>
    <row r="4" spans="2:8" ht="13">
      <c r="B4" s="83" t="s">
        <v>54</v>
      </c>
      <c r="D4" s="83" t="s">
        <v>67</v>
      </c>
      <c r="F4" s="114" t="s">
        <v>80</v>
      </c>
      <c r="G4" s="114" t="s">
        <v>81</v>
      </c>
      <c r="H4" s="114" t="s">
        <v>82</v>
      </c>
    </row>
    <row r="5" spans="2:8">
      <c r="B5" s="83" t="s">
        <v>55</v>
      </c>
      <c r="D5">
        <v>2024</v>
      </c>
      <c r="F5" s="115" t="s">
        <v>55</v>
      </c>
      <c r="G5" s="115">
        <v>500</v>
      </c>
      <c r="H5" s="115">
        <v>600</v>
      </c>
    </row>
    <row r="6" spans="2:8">
      <c r="B6" s="83" t="s">
        <v>56</v>
      </c>
      <c r="D6">
        <v>2025</v>
      </c>
      <c r="F6" s="115" t="s">
        <v>56</v>
      </c>
      <c r="G6" s="115">
        <v>550</v>
      </c>
      <c r="H6" s="115">
        <v>620</v>
      </c>
    </row>
    <row r="7" spans="2:8">
      <c r="B7" s="83" t="s">
        <v>57</v>
      </c>
      <c r="C7" t="s">
        <v>38</v>
      </c>
      <c r="D7">
        <v>2026</v>
      </c>
      <c r="F7" s="115" t="s">
        <v>57</v>
      </c>
      <c r="G7" s="115">
        <v>580</v>
      </c>
      <c r="H7" s="115">
        <v>650</v>
      </c>
    </row>
    <row r="8" spans="2:8">
      <c r="B8" s="83" t="s">
        <v>58</v>
      </c>
      <c r="D8">
        <v>2027</v>
      </c>
    </row>
    <row r="9" spans="2:8">
      <c r="B9" s="83" t="s">
        <v>59</v>
      </c>
      <c r="D9">
        <v>2028</v>
      </c>
    </row>
    <row r="10" spans="2:8">
      <c r="B10" s="83" t="s">
        <v>60</v>
      </c>
      <c r="D10">
        <v>2029</v>
      </c>
    </row>
    <row r="11" spans="2:8">
      <c r="B11" s="83" t="s">
        <v>61</v>
      </c>
      <c r="D11">
        <v>2030</v>
      </c>
    </row>
    <row r="12" spans="2:8">
      <c r="B12" s="83" t="s">
        <v>62</v>
      </c>
      <c r="D12">
        <v>2031</v>
      </c>
    </row>
    <row r="13" spans="2:8">
      <c r="B13" s="83" t="s">
        <v>63</v>
      </c>
      <c r="D13">
        <v>2032</v>
      </c>
    </row>
    <row r="14" spans="2:8">
      <c r="B14" s="83" t="s">
        <v>107</v>
      </c>
      <c r="D14">
        <v>2033</v>
      </c>
    </row>
    <row r="15" spans="2:8">
      <c r="B15" s="83" t="s">
        <v>64</v>
      </c>
      <c r="D15">
        <v>2034</v>
      </c>
    </row>
    <row r="16" spans="2:8">
      <c r="B16" s="83" t="s">
        <v>65</v>
      </c>
      <c r="D16">
        <v>2035</v>
      </c>
    </row>
    <row r="18" spans="2:15">
      <c r="E18" t="s">
        <v>103</v>
      </c>
    </row>
    <row r="19" spans="2:15">
      <c r="E19" t="str">
        <f ca="1">TEXT(TODAY(),"mmmm")</f>
        <v>November</v>
      </c>
    </row>
    <row r="20" spans="2:15">
      <c r="B20" s="95" t="s">
        <v>9</v>
      </c>
      <c r="C20" s="196" t="s">
        <v>10</v>
      </c>
    </row>
    <row r="21" spans="2:15">
      <c r="B21" s="95" t="s">
        <v>1</v>
      </c>
      <c r="C21" s="197">
        <v>1000000</v>
      </c>
    </row>
    <row r="22" spans="2:15">
      <c r="B22" s="95" t="s">
        <v>2</v>
      </c>
      <c r="C22" s="197">
        <v>1000000</v>
      </c>
    </row>
    <row r="23" spans="2:15">
      <c r="B23" s="95" t="s">
        <v>3</v>
      </c>
      <c r="C23" s="197">
        <v>1000000</v>
      </c>
    </row>
    <row r="24" spans="2:15">
      <c r="B24" s="95" t="s">
        <v>4</v>
      </c>
      <c r="C24" s="197">
        <v>105000</v>
      </c>
    </row>
    <row r="25" spans="2:15">
      <c r="B25" s="95" t="s">
        <v>5</v>
      </c>
      <c r="C25" s="197">
        <v>1000000</v>
      </c>
    </row>
    <row r="26" spans="2:15">
      <c r="B26" s="95" t="s">
        <v>6</v>
      </c>
      <c r="C26" s="197">
        <v>1000000</v>
      </c>
    </row>
    <row r="27" spans="2:15">
      <c r="B27" s="95" t="s">
        <v>7</v>
      </c>
      <c r="C27" s="197">
        <v>1000000</v>
      </c>
    </row>
    <row r="28" spans="2:15">
      <c r="B28" s="151" t="s">
        <v>32</v>
      </c>
      <c r="C28" s="197">
        <v>105000</v>
      </c>
      <c r="E28" s="285" t="s">
        <v>110</v>
      </c>
      <c r="F28" s="285"/>
      <c r="G28" s="285"/>
    </row>
    <row r="29" spans="2:15">
      <c r="B29" s="151" t="s">
        <v>33</v>
      </c>
      <c r="C29" s="197">
        <v>1000000</v>
      </c>
      <c r="E29" t="s">
        <v>109</v>
      </c>
      <c r="F29">
        <v>3449200</v>
      </c>
    </row>
    <row r="30" spans="2:15">
      <c r="B30" s="151" t="s">
        <v>34</v>
      </c>
      <c r="C30" s="197">
        <v>1000000</v>
      </c>
      <c r="E30" t="s">
        <v>108</v>
      </c>
      <c r="F30">
        <v>1922976</v>
      </c>
    </row>
    <row r="31" spans="2:15">
      <c r="B31" s="151" t="s">
        <v>35</v>
      </c>
      <c r="C31" s="197">
        <v>1000000</v>
      </c>
      <c r="E31" t="s">
        <v>111</v>
      </c>
      <c r="F31">
        <v>3449200</v>
      </c>
      <c r="I31" s="251" t="s">
        <v>15</v>
      </c>
      <c r="J31" s="251"/>
      <c r="K31" s="251"/>
      <c r="L31" s="251"/>
      <c r="M31" s="43"/>
      <c r="N31" s="43"/>
      <c r="O31" s="41"/>
    </row>
    <row r="32" spans="2:15">
      <c r="B32" s="151" t="s">
        <v>12</v>
      </c>
      <c r="C32" s="197">
        <v>1000000</v>
      </c>
      <c r="E32" s="83" t="s">
        <v>10</v>
      </c>
      <c r="F32">
        <f>SUM(F29:F31)</f>
        <v>8821376</v>
      </c>
      <c r="I32" s="141" t="s">
        <v>0</v>
      </c>
      <c r="J32" s="141" t="s">
        <v>9</v>
      </c>
      <c r="K32" s="141"/>
      <c r="L32" s="141" t="s">
        <v>30</v>
      </c>
      <c r="M32" s="141" t="s">
        <v>36</v>
      </c>
      <c r="N32" s="100"/>
      <c r="O32" s="41"/>
    </row>
    <row r="33" spans="2:15">
      <c r="B33" s="198" t="s">
        <v>116</v>
      </c>
      <c r="C33" s="197">
        <v>1000000</v>
      </c>
      <c r="I33" s="141">
        <v>1</v>
      </c>
      <c r="J33" s="141" t="s">
        <v>1</v>
      </c>
      <c r="K33" s="141"/>
      <c r="L33" s="45">
        <v>900000</v>
      </c>
      <c r="M33" s="45">
        <f>L33/2</f>
        <v>450000</v>
      </c>
      <c r="N33" s="101"/>
      <c r="O33" s="41"/>
    </row>
    <row r="34" spans="2:15">
      <c r="I34" s="141">
        <v>2</v>
      </c>
      <c r="J34" s="141" t="s">
        <v>2</v>
      </c>
      <c r="K34" s="141"/>
      <c r="L34" s="45">
        <v>800000</v>
      </c>
      <c r="M34" s="45">
        <f t="shared" ref="M34:M39" si="0">L34/2</f>
        <v>400000</v>
      </c>
      <c r="N34" s="101"/>
      <c r="O34" s="41"/>
    </row>
    <row r="35" spans="2:15">
      <c r="E35" t="s">
        <v>4</v>
      </c>
      <c r="F35">
        <v>1000000</v>
      </c>
      <c r="I35" s="141">
        <v>3</v>
      </c>
      <c r="J35" s="141" t="s">
        <v>3</v>
      </c>
      <c r="K35" s="141"/>
      <c r="L35" s="45">
        <v>900000</v>
      </c>
      <c r="M35" s="45">
        <f t="shared" si="0"/>
        <v>450000</v>
      </c>
      <c r="N35" s="101"/>
      <c r="O35" s="41"/>
    </row>
    <row r="36" spans="2:15">
      <c r="F36">
        <v>12</v>
      </c>
      <c r="I36" s="141">
        <v>4</v>
      </c>
      <c r="J36" s="141" t="s">
        <v>4</v>
      </c>
      <c r="K36" s="141"/>
      <c r="L36" s="45">
        <v>1000000</v>
      </c>
      <c r="M36" s="45">
        <f t="shared" si="0"/>
        <v>500000</v>
      </c>
      <c r="N36" s="101"/>
      <c r="O36" s="41"/>
    </row>
    <row r="37" spans="2:15">
      <c r="E37" s="83" t="s">
        <v>10</v>
      </c>
      <c r="F37">
        <f>F35*F36</f>
        <v>12000000</v>
      </c>
      <c r="I37" s="141">
        <v>5</v>
      </c>
      <c r="J37" s="141" t="s">
        <v>5</v>
      </c>
      <c r="K37" s="141"/>
      <c r="L37" s="45">
        <v>400000</v>
      </c>
      <c r="M37" s="45">
        <f t="shared" si="0"/>
        <v>200000</v>
      </c>
      <c r="N37" s="101"/>
      <c r="O37" s="41"/>
    </row>
    <row r="38" spans="2:15">
      <c r="B38" s="83" t="s">
        <v>113</v>
      </c>
      <c r="I38" s="141">
        <v>6</v>
      </c>
      <c r="J38" s="141" t="s">
        <v>6</v>
      </c>
      <c r="K38" s="141"/>
      <c r="L38" s="45">
        <v>100000</v>
      </c>
      <c r="M38" s="45">
        <f t="shared" si="0"/>
        <v>50000</v>
      </c>
      <c r="N38" s="101"/>
      <c r="O38" s="41"/>
    </row>
    <row r="39" spans="2:15">
      <c r="B39" t="str">
        <f ca="1">TEXT(TODAY()-1,"dd mmmm yyyy")</f>
        <v>18 November 2024</v>
      </c>
      <c r="E39" t="s">
        <v>112</v>
      </c>
      <c r="F39">
        <v>1000000</v>
      </c>
      <c r="I39" s="141">
        <v>7</v>
      </c>
      <c r="J39" s="141" t="s">
        <v>7</v>
      </c>
      <c r="K39" s="141"/>
      <c r="L39" s="45">
        <v>100000</v>
      </c>
      <c r="M39" s="45">
        <f t="shared" si="0"/>
        <v>50000</v>
      </c>
      <c r="N39" s="101"/>
      <c r="O39" s="41"/>
    </row>
    <row r="40" spans="2:15">
      <c r="B40" t="str">
        <f ca="1">TEXT(TODAY(),"dd mmmm yyyy")</f>
        <v>19 November 2024</v>
      </c>
      <c r="F40">
        <v>12</v>
      </c>
      <c r="I40" s="46"/>
      <c r="J40" s="47" t="s">
        <v>10</v>
      </c>
      <c r="K40" s="47"/>
      <c r="L40" s="48">
        <f>SUM(L33:L39)</f>
        <v>4200000</v>
      </c>
      <c r="M40" s="48">
        <f>SUM(M33:M39)</f>
        <v>2100000</v>
      </c>
      <c r="N40" s="102"/>
      <c r="O40" s="41"/>
    </row>
    <row r="41" spans="2:15">
      <c r="E41" s="83" t="s">
        <v>10</v>
      </c>
      <c r="F41">
        <f>F39*F40</f>
        <v>12000000</v>
      </c>
      <c r="I41" s="41"/>
      <c r="J41" s="41"/>
      <c r="K41" s="41"/>
      <c r="L41" s="41"/>
      <c r="M41" s="41"/>
      <c r="N41" s="41"/>
      <c r="O41" s="41"/>
    </row>
    <row r="42" spans="2:15">
      <c r="I42" s="250" t="s">
        <v>12</v>
      </c>
      <c r="J42" s="250"/>
      <c r="K42" s="250"/>
      <c r="L42" s="250"/>
      <c r="M42" s="250"/>
      <c r="N42" s="100"/>
      <c r="O42" s="41"/>
    </row>
    <row r="43" spans="2:15">
      <c r="E43" s="83" t="s">
        <v>121</v>
      </c>
      <c r="F43">
        <f>F32+F37+F41</f>
        <v>32821376</v>
      </c>
      <c r="I43" s="141" t="s">
        <v>0</v>
      </c>
      <c r="J43" s="141" t="s">
        <v>13</v>
      </c>
      <c r="K43" s="141"/>
      <c r="L43" s="141" t="s">
        <v>9</v>
      </c>
      <c r="M43" s="141" t="s">
        <v>8</v>
      </c>
      <c r="N43" s="100"/>
      <c r="O43" s="41"/>
    </row>
    <row r="44" spans="2:15">
      <c r="I44" s="141">
        <v>1</v>
      </c>
      <c r="J44" s="141" t="s">
        <v>14</v>
      </c>
      <c r="K44" s="141"/>
      <c r="L44" s="141" t="s">
        <v>4</v>
      </c>
      <c r="M44" s="45">
        <v>2500000</v>
      </c>
      <c r="N44" s="101"/>
      <c r="O44" s="41"/>
    </row>
    <row r="45" spans="2:15">
      <c r="I45" s="141">
        <v>2</v>
      </c>
      <c r="J45" s="50" t="s">
        <v>22</v>
      </c>
      <c r="K45" s="50"/>
      <c r="L45" s="141" t="s">
        <v>4</v>
      </c>
      <c r="M45" s="45">
        <v>500000</v>
      </c>
      <c r="N45" s="101"/>
      <c r="O45" s="41"/>
    </row>
    <row r="46" spans="2:15">
      <c r="I46" s="141"/>
      <c r="J46" s="50"/>
      <c r="K46" s="50"/>
      <c r="L46" s="141"/>
      <c r="M46" s="45"/>
      <c r="N46" s="101"/>
      <c r="O46" s="41"/>
    </row>
    <row r="47" spans="2:15">
      <c r="I47" s="51"/>
      <c r="J47" s="51"/>
      <c r="K47" s="51"/>
      <c r="L47" s="52"/>
      <c r="M47" s="52"/>
      <c r="N47" s="103"/>
      <c r="O47" s="41"/>
    </row>
    <row r="48" spans="2:15">
      <c r="I48" s="51"/>
      <c r="J48" s="51"/>
      <c r="K48" s="51"/>
      <c r="L48" s="52"/>
      <c r="M48" s="52"/>
      <c r="N48" s="103"/>
      <c r="O48" s="41"/>
    </row>
    <row r="49" spans="9:15">
      <c r="I49" s="51"/>
      <c r="J49" s="51"/>
      <c r="K49" s="51"/>
      <c r="L49" s="52"/>
      <c r="M49" s="52"/>
      <c r="N49" s="103"/>
      <c r="O49" s="41"/>
    </row>
    <row r="50" spans="9:15">
      <c r="I50" s="53"/>
      <c r="J50" s="53"/>
      <c r="K50" s="53"/>
      <c r="L50" s="53" t="s">
        <v>10</v>
      </c>
      <c r="M50" s="54">
        <f>SUM(M44:M46)</f>
        <v>3000000</v>
      </c>
      <c r="N50" s="104"/>
      <c r="O50" s="41"/>
    </row>
    <row r="51" spans="9:15">
      <c r="I51" s="41"/>
      <c r="J51" s="41"/>
      <c r="K51" s="41"/>
      <c r="L51" s="41"/>
      <c r="M51" s="41"/>
      <c r="N51" s="41"/>
      <c r="O51" s="41"/>
    </row>
  </sheetData>
  <mergeCells count="3">
    <mergeCell ref="I31:L31"/>
    <mergeCell ref="I42:M42"/>
    <mergeCell ref="E28:G28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B1:U34"/>
  <sheetViews>
    <sheetView topLeftCell="D37" zoomScale="85" zoomScaleNormal="85" workbookViewId="0">
      <selection activeCell="H58" sqref="H58"/>
    </sheetView>
  </sheetViews>
  <sheetFormatPr defaultRowHeight="12.5"/>
  <cols>
    <col min="2" max="2" width="24.1796875" customWidth="1"/>
    <col min="3" max="3" width="17.7265625" customWidth="1"/>
    <col min="7" max="7" width="14.453125" customWidth="1"/>
    <col min="8" max="8" width="17.7265625" customWidth="1"/>
    <col min="9" max="9" width="18.1796875" style="1" bestFit="1" customWidth="1"/>
  </cols>
  <sheetData>
    <row r="1" spans="2:21">
      <c r="I1"/>
    </row>
    <row r="2" spans="2:21">
      <c r="I2"/>
    </row>
    <row r="3" spans="2:21" ht="13.5" thickBot="1">
      <c r="G3" s="59" t="s">
        <v>23</v>
      </c>
      <c r="H3" s="59" t="s">
        <v>24</v>
      </c>
      <c r="I3" s="59" t="s">
        <v>25</v>
      </c>
      <c r="J3" s="291" t="s">
        <v>26</v>
      </c>
      <c r="K3" s="292"/>
      <c r="L3" s="292"/>
      <c r="M3" s="292"/>
      <c r="N3" s="292"/>
      <c r="O3" s="292"/>
      <c r="P3" s="292"/>
      <c r="Q3" s="292"/>
      <c r="R3" s="292"/>
      <c r="S3" s="292"/>
      <c r="T3" s="292"/>
      <c r="U3" s="293"/>
    </row>
    <row r="4" spans="2:21" ht="12.75" customHeight="1" thickBot="1">
      <c r="B4" s="289" t="s">
        <v>43</v>
      </c>
      <c r="C4" s="290"/>
      <c r="G4" s="57">
        <v>23</v>
      </c>
      <c r="H4" s="60">
        <v>123</v>
      </c>
      <c r="I4" s="61">
        <v>123</v>
      </c>
      <c r="J4" s="294"/>
      <c r="K4" s="295"/>
      <c r="L4" s="295"/>
      <c r="M4" s="295"/>
      <c r="N4" s="295"/>
      <c r="O4" s="295"/>
      <c r="P4" s="295"/>
      <c r="Q4" s="295"/>
      <c r="R4" s="295"/>
      <c r="S4" s="295"/>
      <c r="T4" s="295"/>
      <c r="U4" s="296"/>
    </row>
    <row r="5" spans="2:21" ht="12.75" customHeight="1">
      <c r="B5" s="65" t="s">
        <v>16</v>
      </c>
      <c r="C5" s="66"/>
      <c r="G5" s="57">
        <v>123</v>
      </c>
      <c r="H5" s="60">
        <v>123</v>
      </c>
      <c r="I5" s="61">
        <v>123</v>
      </c>
      <c r="J5" s="294">
        <v>123</v>
      </c>
      <c r="K5" s="295"/>
      <c r="L5" s="295"/>
      <c r="M5" s="295"/>
      <c r="N5" s="295"/>
      <c r="O5" s="295"/>
      <c r="P5" s="295"/>
      <c r="Q5" s="295"/>
      <c r="R5" s="295"/>
      <c r="S5" s="295"/>
      <c r="T5" s="295"/>
      <c r="U5" s="296"/>
    </row>
    <row r="6" spans="2:21" ht="12.75" customHeight="1">
      <c r="B6" s="63" t="s">
        <v>44</v>
      </c>
      <c r="C6" s="64"/>
      <c r="G6" s="57">
        <v>123</v>
      </c>
      <c r="H6" s="60">
        <v>123</v>
      </c>
      <c r="I6" s="61">
        <v>123</v>
      </c>
      <c r="J6" s="294">
        <v>123</v>
      </c>
      <c r="K6" s="295"/>
      <c r="L6" s="295"/>
      <c r="M6" s="295"/>
      <c r="N6" s="295"/>
      <c r="O6" s="295"/>
      <c r="P6" s="295"/>
      <c r="Q6" s="295"/>
      <c r="R6" s="295"/>
      <c r="S6" s="295"/>
      <c r="T6" s="295"/>
      <c r="U6" s="296"/>
    </row>
    <row r="7" spans="2:21" ht="12.75" customHeight="1">
      <c r="B7" s="63" t="s">
        <v>45</v>
      </c>
      <c r="C7" s="64"/>
      <c r="G7" s="57">
        <v>123</v>
      </c>
      <c r="H7" s="60">
        <v>123</v>
      </c>
      <c r="I7" s="61">
        <v>123</v>
      </c>
      <c r="J7" s="294">
        <v>123</v>
      </c>
      <c r="K7" s="295"/>
      <c r="L7" s="295"/>
      <c r="M7" s="295"/>
      <c r="N7" s="295"/>
      <c r="O7" s="295"/>
      <c r="P7" s="295"/>
      <c r="Q7" s="295"/>
      <c r="R7" s="295"/>
      <c r="S7" s="295"/>
      <c r="T7" s="295"/>
      <c r="U7" s="296"/>
    </row>
    <row r="8" spans="2:21" ht="12.75" customHeight="1">
      <c r="B8" s="63" t="s">
        <v>46</v>
      </c>
      <c r="C8" s="64"/>
      <c r="G8" s="57"/>
      <c r="H8" s="60" t="s">
        <v>47</v>
      </c>
      <c r="I8" s="61" t="s">
        <v>47</v>
      </c>
      <c r="J8" s="294" t="s">
        <v>47</v>
      </c>
      <c r="K8" s="295"/>
      <c r="L8" s="295"/>
      <c r="M8" s="295"/>
      <c r="N8" s="295"/>
      <c r="O8" s="295"/>
      <c r="P8" s="295"/>
      <c r="Q8" s="295"/>
      <c r="R8" s="295"/>
      <c r="S8" s="295"/>
      <c r="T8" s="295"/>
      <c r="U8" s="296"/>
    </row>
    <row r="9" spans="2:21" ht="12.75" customHeight="1">
      <c r="B9" s="67"/>
      <c r="C9" s="73" t="s">
        <v>50</v>
      </c>
      <c r="G9" s="57"/>
      <c r="H9" s="60">
        <v>2</v>
      </c>
      <c r="I9" s="61">
        <v>3</v>
      </c>
      <c r="J9" s="294">
        <v>4</v>
      </c>
      <c r="K9" s="295"/>
      <c r="L9" s="295"/>
      <c r="M9" s="295"/>
      <c r="N9" s="295"/>
      <c r="O9" s="295"/>
      <c r="P9" s="295"/>
      <c r="Q9" s="295"/>
      <c r="R9" s="295"/>
      <c r="S9" s="295"/>
      <c r="T9" s="295"/>
      <c r="U9" s="296"/>
    </row>
    <row r="10" spans="2:21" ht="12.75" customHeight="1">
      <c r="B10" s="67"/>
      <c r="C10" s="68"/>
      <c r="G10" s="57"/>
      <c r="H10" s="60" t="s">
        <v>48</v>
      </c>
      <c r="I10" s="61" t="s">
        <v>49</v>
      </c>
      <c r="J10" s="294" t="s">
        <v>50</v>
      </c>
      <c r="K10" s="295"/>
      <c r="L10" s="295"/>
      <c r="M10" s="295"/>
      <c r="N10" s="295"/>
      <c r="O10" s="295"/>
      <c r="P10" s="295"/>
      <c r="Q10" s="295"/>
      <c r="R10" s="295"/>
      <c r="S10" s="295"/>
      <c r="T10" s="295"/>
      <c r="U10" s="296"/>
    </row>
    <row r="11" spans="2:21" ht="12.75" customHeight="1">
      <c r="B11" s="67"/>
      <c r="C11" s="68"/>
      <c r="G11" s="57"/>
      <c r="H11" s="60"/>
      <c r="I11" s="61"/>
      <c r="J11" s="294"/>
      <c r="K11" s="295"/>
      <c r="L11" s="295"/>
      <c r="M11" s="295"/>
      <c r="N11" s="295"/>
      <c r="O11" s="295"/>
      <c r="P11" s="295"/>
      <c r="Q11" s="295"/>
      <c r="R11" s="295"/>
      <c r="S11" s="295"/>
      <c r="T11" s="295"/>
      <c r="U11" s="296"/>
    </row>
    <row r="12" spans="2:21" ht="12.75" customHeight="1">
      <c r="B12" s="67"/>
      <c r="C12" s="68"/>
      <c r="G12" s="57"/>
      <c r="H12" s="60"/>
      <c r="I12" s="61"/>
      <c r="J12" s="294"/>
      <c r="K12" s="295"/>
      <c r="L12" s="295"/>
      <c r="M12" s="295"/>
      <c r="N12" s="295"/>
      <c r="O12" s="295"/>
      <c r="P12" s="295"/>
      <c r="Q12" s="295"/>
      <c r="R12" s="295"/>
      <c r="S12" s="295"/>
      <c r="T12" s="295"/>
      <c r="U12" s="296"/>
    </row>
    <row r="13" spans="2:21" ht="12.75" customHeight="1" thickBot="1">
      <c r="B13" s="69"/>
      <c r="C13" s="70"/>
      <c r="G13" s="57"/>
      <c r="H13" s="58"/>
      <c r="I13" s="61"/>
      <c r="J13" s="294"/>
      <c r="K13" s="295"/>
      <c r="L13" s="295"/>
      <c r="M13" s="295"/>
      <c r="N13" s="295"/>
      <c r="O13" s="295"/>
      <c r="P13" s="295"/>
      <c r="Q13" s="295"/>
      <c r="R13" s="295"/>
      <c r="S13" s="295"/>
      <c r="T13" s="295"/>
      <c r="U13" s="296"/>
    </row>
    <row r="14" spans="2:21" ht="13">
      <c r="G14" s="60"/>
      <c r="H14" s="58"/>
      <c r="I14" s="61"/>
      <c r="J14" s="286"/>
      <c r="K14" s="287"/>
      <c r="L14" s="287"/>
      <c r="M14" s="287"/>
      <c r="N14" s="287"/>
      <c r="O14" s="287"/>
      <c r="P14" s="287"/>
      <c r="Q14" s="287"/>
      <c r="R14" s="287"/>
      <c r="S14" s="287"/>
      <c r="T14" s="287"/>
      <c r="U14" s="288"/>
    </row>
    <row r="15" spans="2:21" ht="13">
      <c r="G15" s="58"/>
      <c r="H15" s="58"/>
      <c r="I15" s="61"/>
      <c r="J15" s="286"/>
      <c r="K15" s="287"/>
      <c r="L15" s="287"/>
      <c r="M15" s="287"/>
      <c r="N15" s="287"/>
      <c r="O15" s="287"/>
      <c r="P15" s="287"/>
      <c r="Q15" s="287"/>
      <c r="R15" s="287"/>
      <c r="S15" s="287"/>
      <c r="T15" s="287"/>
      <c r="U15" s="288"/>
    </row>
    <row r="16" spans="2:21" ht="13">
      <c r="G16" s="58"/>
      <c r="H16" s="58"/>
      <c r="I16" s="61"/>
      <c r="J16" s="286"/>
      <c r="K16" s="287"/>
      <c r="L16" s="287"/>
      <c r="M16" s="287"/>
      <c r="N16" s="287"/>
      <c r="O16" s="287"/>
      <c r="P16" s="287"/>
      <c r="Q16" s="287"/>
      <c r="R16" s="287"/>
      <c r="S16" s="287"/>
      <c r="T16" s="287"/>
      <c r="U16" s="288"/>
    </row>
    <row r="17" spans="7:21" ht="13">
      <c r="G17" s="58"/>
      <c r="H17" s="58"/>
      <c r="I17" s="61"/>
      <c r="J17" s="286"/>
      <c r="K17" s="287"/>
      <c r="L17" s="287"/>
      <c r="M17" s="287"/>
      <c r="N17" s="287"/>
      <c r="O17" s="287"/>
      <c r="P17" s="287"/>
      <c r="Q17" s="287"/>
      <c r="R17" s="287"/>
      <c r="S17" s="287"/>
      <c r="T17" s="287"/>
      <c r="U17" s="288"/>
    </row>
    <row r="18" spans="7:21" ht="13">
      <c r="G18" s="58"/>
      <c r="H18" s="58"/>
      <c r="I18" s="61"/>
      <c r="J18" s="286"/>
      <c r="K18" s="287"/>
      <c r="L18" s="287"/>
      <c r="M18" s="287"/>
      <c r="N18" s="287"/>
      <c r="O18" s="287"/>
      <c r="P18" s="287"/>
      <c r="Q18" s="287"/>
      <c r="R18" s="287"/>
      <c r="S18" s="287"/>
      <c r="T18" s="287"/>
      <c r="U18" s="288"/>
    </row>
    <row r="19" spans="7:21" ht="13">
      <c r="G19" s="58"/>
      <c r="H19" s="58"/>
      <c r="I19" s="61"/>
      <c r="J19" s="286"/>
      <c r="K19" s="287"/>
      <c r="L19" s="287"/>
      <c r="M19" s="287"/>
      <c r="N19" s="287"/>
      <c r="O19" s="287"/>
      <c r="P19" s="287"/>
      <c r="Q19" s="287"/>
      <c r="R19" s="287"/>
      <c r="S19" s="287"/>
      <c r="T19" s="287"/>
      <c r="U19" s="288"/>
    </row>
    <row r="20" spans="7:21" ht="13">
      <c r="G20" s="58"/>
      <c r="H20" s="58"/>
      <c r="I20" s="61"/>
      <c r="J20" s="286"/>
      <c r="K20" s="287"/>
      <c r="L20" s="287"/>
      <c r="M20" s="287"/>
      <c r="N20" s="287"/>
      <c r="O20" s="287"/>
      <c r="P20" s="287"/>
      <c r="Q20" s="287"/>
      <c r="R20" s="287"/>
      <c r="S20" s="287"/>
      <c r="T20" s="287"/>
      <c r="U20" s="288"/>
    </row>
    <row r="21" spans="7:21" ht="13">
      <c r="G21" s="58"/>
      <c r="H21" s="58"/>
      <c r="I21" s="61"/>
      <c r="J21" s="286"/>
      <c r="K21" s="287"/>
      <c r="L21" s="287"/>
      <c r="M21" s="287"/>
      <c r="N21" s="287"/>
      <c r="O21" s="287"/>
      <c r="P21" s="287"/>
      <c r="Q21" s="287"/>
      <c r="R21" s="287"/>
      <c r="S21" s="287"/>
      <c r="T21" s="287"/>
      <c r="U21" s="288"/>
    </row>
    <row r="22" spans="7:21" ht="13">
      <c r="G22" s="58"/>
      <c r="H22" s="58"/>
      <c r="I22" s="61"/>
      <c r="J22" s="286"/>
      <c r="K22" s="287"/>
      <c r="L22" s="287"/>
      <c r="M22" s="287"/>
      <c r="N22" s="287"/>
      <c r="O22" s="287"/>
      <c r="P22" s="287"/>
      <c r="Q22" s="287"/>
      <c r="R22" s="287"/>
      <c r="S22" s="287"/>
      <c r="T22" s="287"/>
      <c r="U22" s="288"/>
    </row>
    <row r="23" spans="7:21" ht="13">
      <c r="G23" s="58"/>
      <c r="H23" s="58"/>
      <c r="I23" s="61"/>
      <c r="J23" s="286"/>
      <c r="K23" s="287"/>
      <c r="L23" s="287"/>
      <c r="M23" s="287"/>
      <c r="N23" s="287"/>
      <c r="O23" s="287"/>
      <c r="P23" s="287"/>
      <c r="Q23" s="287"/>
      <c r="R23" s="287"/>
      <c r="S23" s="287"/>
      <c r="T23" s="287"/>
      <c r="U23" s="288"/>
    </row>
    <row r="24" spans="7:21" ht="13">
      <c r="G24" s="58"/>
      <c r="H24" s="58"/>
      <c r="I24" s="61"/>
      <c r="J24" s="286"/>
      <c r="K24" s="287"/>
      <c r="L24" s="287"/>
      <c r="M24" s="287"/>
      <c r="N24" s="287"/>
      <c r="O24" s="287"/>
      <c r="P24" s="287"/>
      <c r="Q24" s="287"/>
      <c r="R24" s="287"/>
      <c r="S24" s="287"/>
      <c r="T24" s="287"/>
      <c r="U24" s="288"/>
    </row>
    <row r="25" spans="7:21" ht="13">
      <c r="G25" s="58"/>
      <c r="H25" s="58"/>
      <c r="I25" s="61"/>
      <c r="J25" s="286"/>
      <c r="K25" s="287"/>
      <c r="L25" s="287"/>
      <c r="M25" s="287"/>
      <c r="N25" s="287"/>
      <c r="O25" s="287"/>
      <c r="P25" s="287"/>
      <c r="Q25" s="287"/>
      <c r="R25" s="287"/>
      <c r="S25" s="287"/>
      <c r="T25" s="287"/>
      <c r="U25" s="288"/>
    </row>
    <row r="26" spans="7:21" ht="13">
      <c r="G26" s="58"/>
      <c r="H26" s="58"/>
      <c r="I26" s="61"/>
      <c r="J26" s="286"/>
      <c r="K26" s="287"/>
      <c r="L26" s="287"/>
      <c r="M26" s="287"/>
      <c r="N26" s="287"/>
      <c r="O26" s="287"/>
      <c r="P26" s="287"/>
      <c r="Q26" s="287"/>
      <c r="R26" s="287"/>
      <c r="S26" s="287"/>
      <c r="T26" s="287"/>
      <c r="U26" s="288"/>
    </row>
    <row r="27" spans="7:21" ht="13">
      <c r="G27" s="58"/>
      <c r="H27" s="58"/>
      <c r="I27" s="61"/>
      <c r="J27" s="286"/>
      <c r="K27" s="287"/>
      <c r="L27" s="287"/>
      <c r="M27" s="287"/>
      <c r="N27" s="287"/>
      <c r="O27" s="287"/>
      <c r="P27" s="287"/>
      <c r="Q27" s="287"/>
      <c r="R27" s="287"/>
      <c r="S27" s="287"/>
      <c r="T27" s="287"/>
      <c r="U27" s="288"/>
    </row>
    <row r="28" spans="7:21" ht="13">
      <c r="G28" s="58"/>
      <c r="H28" s="58"/>
      <c r="I28" s="61"/>
      <c r="J28" s="286"/>
      <c r="K28" s="287"/>
      <c r="L28" s="287"/>
      <c r="M28" s="287"/>
      <c r="N28" s="287"/>
      <c r="O28" s="287"/>
      <c r="P28" s="287"/>
      <c r="Q28" s="287"/>
      <c r="R28" s="287"/>
      <c r="S28" s="287"/>
      <c r="T28" s="287"/>
      <c r="U28" s="288"/>
    </row>
    <row r="29" spans="7:21" ht="13">
      <c r="G29" s="58"/>
      <c r="H29" s="58"/>
      <c r="I29" s="61"/>
      <c r="J29" s="286"/>
      <c r="K29" s="287"/>
      <c r="L29" s="287"/>
      <c r="M29" s="287"/>
      <c r="N29" s="287"/>
      <c r="O29" s="287"/>
      <c r="P29" s="287"/>
      <c r="Q29" s="287"/>
      <c r="R29" s="287"/>
      <c r="S29" s="287"/>
      <c r="T29" s="287"/>
      <c r="U29" s="288"/>
    </row>
    <row r="30" spans="7:21" ht="13">
      <c r="G30" s="58"/>
      <c r="H30" s="58"/>
      <c r="I30" s="61"/>
      <c r="J30" s="286"/>
      <c r="K30" s="287"/>
      <c r="L30" s="287"/>
      <c r="M30" s="287"/>
      <c r="N30" s="287"/>
      <c r="O30" s="287"/>
      <c r="P30" s="287"/>
      <c r="Q30" s="287"/>
      <c r="R30" s="287"/>
      <c r="S30" s="287"/>
      <c r="T30" s="287"/>
      <c r="U30" s="288"/>
    </row>
    <row r="31" spans="7:21" ht="13">
      <c r="G31" s="58"/>
      <c r="H31" s="58"/>
      <c r="I31" s="61"/>
      <c r="J31" s="286"/>
      <c r="K31" s="287"/>
      <c r="L31" s="287"/>
      <c r="M31" s="287"/>
      <c r="N31" s="287"/>
      <c r="O31" s="287"/>
      <c r="P31" s="287"/>
      <c r="Q31" s="287"/>
      <c r="R31" s="287"/>
      <c r="S31" s="287"/>
      <c r="T31" s="287"/>
      <c r="U31" s="288"/>
    </row>
    <row r="32" spans="7:21" ht="13">
      <c r="G32" s="58"/>
      <c r="H32" s="58"/>
      <c r="I32" s="61"/>
      <c r="J32" s="286"/>
      <c r="K32" s="287"/>
      <c r="L32" s="287"/>
      <c r="M32" s="287"/>
      <c r="N32" s="287"/>
      <c r="O32" s="287"/>
      <c r="P32" s="287"/>
      <c r="Q32" s="287"/>
      <c r="R32" s="287"/>
      <c r="S32" s="287"/>
      <c r="T32" s="287"/>
      <c r="U32" s="288"/>
    </row>
    <row r="33" spans="7:21" ht="13">
      <c r="G33" s="58"/>
      <c r="H33" s="58"/>
      <c r="I33" s="61"/>
      <c r="J33" s="286"/>
      <c r="K33" s="287"/>
      <c r="L33" s="287"/>
      <c r="M33" s="287"/>
      <c r="N33" s="287"/>
      <c r="O33" s="287"/>
      <c r="P33" s="287"/>
      <c r="Q33" s="287"/>
      <c r="R33" s="287"/>
      <c r="S33" s="287"/>
      <c r="T33" s="287"/>
      <c r="U33" s="288"/>
    </row>
    <row r="34" spans="7:21" ht="13">
      <c r="G34" s="58"/>
      <c r="H34" s="58"/>
      <c r="I34" s="61"/>
      <c r="J34" s="286"/>
      <c r="K34" s="287"/>
      <c r="L34" s="287"/>
      <c r="M34" s="287"/>
      <c r="N34" s="287"/>
      <c r="O34" s="287"/>
      <c r="P34" s="287"/>
      <c r="Q34" s="287"/>
      <c r="R34" s="287"/>
      <c r="S34" s="287"/>
      <c r="T34" s="287"/>
      <c r="U34" s="288"/>
    </row>
  </sheetData>
  <mergeCells count="33">
    <mergeCell ref="B4:C4"/>
    <mergeCell ref="J14:U14"/>
    <mergeCell ref="J3:U3"/>
    <mergeCell ref="J4:U4"/>
    <mergeCell ref="J5:U5"/>
    <mergeCell ref="J6:U6"/>
    <mergeCell ref="J7:U7"/>
    <mergeCell ref="J8:U8"/>
    <mergeCell ref="J9:U9"/>
    <mergeCell ref="J10:U10"/>
    <mergeCell ref="J11:U11"/>
    <mergeCell ref="J12:U12"/>
    <mergeCell ref="J13:U13"/>
    <mergeCell ref="J26:U26"/>
    <mergeCell ref="J15:U15"/>
    <mergeCell ref="J16:U16"/>
    <mergeCell ref="J17:U17"/>
    <mergeCell ref="J18:U18"/>
    <mergeCell ref="J19:U19"/>
    <mergeCell ref="J20:U20"/>
    <mergeCell ref="J21:U21"/>
    <mergeCell ref="J22:U22"/>
    <mergeCell ref="J23:U23"/>
    <mergeCell ref="J24:U24"/>
    <mergeCell ref="J25:U25"/>
    <mergeCell ref="J33:U33"/>
    <mergeCell ref="J34:U34"/>
    <mergeCell ref="J27:U27"/>
    <mergeCell ref="J28:U28"/>
    <mergeCell ref="J29:U29"/>
    <mergeCell ref="J30:U30"/>
    <mergeCell ref="J31:U31"/>
    <mergeCell ref="J32:U32"/>
  </mergeCells>
  <dataValidations count="1">
    <dataValidation type="custom" allowBlank="1" showDropDown="1" sqref="G4:G34" xr:uid="{00000000-0002-0000-0700-000000000000}">
      <formula1>OR(NOT(ISERROR(DATEVALUE(G4))), AND(ISNUMBER(G4), LEFT(CELL("format", G4))="D"))</formula1>
    </dataValidation>
  </dataValidations>
  <pageMargins left="0.7" right="0.7" top="0.75" bottom="0.75" header="0.3" footer="0.3"/>
  <pageSetup paperSize="14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1027" r:id="rId4" name="SUBMIT">
          <controlPr defaultSize="0" autoLine="0" r:id="rId5">
            <anchor moveWithCells="1">
              <from>
                <xdr:col>1</xdr:col>
                <xdr:colOff>12700</xdr:colOff>
                <xdr:row>8</xdr:row>
                <xdr:rowOff>38100</xdr:rowOff>
              </from>
              <to>
                <xdr:col>2</xdr:col>
                <xdr:colOff>1206500</xdr:colOff>
                <xdr:row>12</xdr:row>
                <xdr:rowOff>120650</xdr:rowOff>
              </to>
            </anchor>
          </controlPr>
        </control>
      </mc:Choice>
      <mc:Fallback>
        <control shapeId="1027" r:id="rId4" name="SUBMIT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B2:AH11"/>
  <sheetViews>
    <sheetView zoomScale="40" zoomScaleNormal="40" workbookViewId="0">
      <selection activeCell="C11" sqref="C11"/>
    </sheetView>
  </sheetViews>
  <sheetFormatPr defaultColWidth="9.1796875" defaultRowHeight="15.5"/>
  <cols>
    <col min="1" max="1" width="9.1796875" style="2"/>
    <col min="2" max="2" width="3.54296875" style="2" bestFit="1" customWidth="1"/>
    <col min="3" max="3" width="29.453125" style="2" bestFit="1" customWidth="1"/>
    <col min="4" max="4" width="9.7265625" style="2" bestFit="1" customWidth="1"/>
    <col min="5" max="13" width="9.1796875" style="2"/>
    <col min="14" max="14" width="9.81640625" style="2" customWidth="1"/>
    <col min="15" max="16384" width="9.1796875" style="2"/>
  </cols>
  <sheetData>
    <row r="2" spans="2:34" ht="16" thickBot="1"/>
    <row r="3" spans="2:34" ht="16" thickBot="1">
      <c r="B3" s="3"/>
      <c r="C3" s="3"/>
      <c r="D3" s="297" t="s">
        <v>17</v>
      </c>
      <c r="E3" s="298"/>
      <c r="F3" s="298"/>
      <c r="G3" s="298"/>
      <c r="H3" s="298"/>
      <c r="I3" s="298"/>
      <c r="J3" s="299"/>
      <c r="K3" s="300" t="s">
        <v>18</v>
      </c>
      <c r="L3" s="298"/>
      <c r="M3" s="298"/>
      <c r="N3" s="298"/>
      <c r="O3" s="298"/>
      <c r="P3" s="298"/>
      <c r="Q3" s="299"/>
      <c r="R3" s="301" t="s">
        <v>19</v>
      </c>
      <c r="S3" s="298"/>
      <c r="T3" s="298"/>
      <c r="U3" s="298"/>
      <c r="V3" s="298"/>
      <c r="W3" s="298"/>
      <c r="X3" s="299"/>
      <c r="Y3" s="302" t="s">
        <v>20</v>
      </c>
      <c r="Z3" s="298"/>
      <c r="AA3" s="298"/>
      <c r="AB3" s="298"/>
      <c r="AC3" s="298"/>
      <c r="AD3" s="298"/>
      <c r="AE3" s="299"/>
      <c r="AF3" s="303"/>
      <c r="AG3" s="298"/>
      <c r="AH3" s="304"/>
    </row>
    <row r="4" spans="2:34">
      <c r="B4" s="4" t="s">
        <v>21</v>
      </c>
      <c r="C4" s="5"/>
      <c r="D4" s="6">
        <v>1</v>
      </c>
      <c r="E4" s="7">
        <v>2</v>
      </c>
      <c r="F4" s="7">
        <v>3</v>
      </c>
      <c r="G4" s="7">
        <v>4</v>
      </c>
      <c r="H4" s="7">
        <v>5</v>
      </c>
      <c r="I4" s="7">
        <v>6</v>
      </c>
      <c r="J4" s="8">
        <v>7</v>
      </c>
      <c r="K4" s="9">
        <v>8</v>
      </c>
      <c r="L4" s="10">
        <v>9</v>
      </c>
      <c r="M4" s="10">
        <v>10</v>
      </c>
      <c r="N4" s="10">
        <v>11</v>
      </c>
      <c r="O4" s="10">
        <v>12</v>
      </c>
      <c r="P4" s="10">
        <v>13</v>
      </c>
      <c r="Q4" s="11">
        <v>14</v>
      </c>
      <c r="R4" s="12">
        <v>15</v>
      </c>
      <c r="S4" s="13">
        <v>16</v>
      </c>
      <c r="T4" s="13">
        <v>17</v>
      </c>
      <c r="U4" s="13">
        <v>18</v>
      </c>
      <c r="V4" s="13">
        <v>19</v>
      </c>
      <c r="W4" s="13">
        <v>20</v>
      </c>
      <c r="X4" s="14">
        <v>21</v>
      </c>
      <c r="Y4" s="15">
        <v>22</v>
      </c>
      <c r="Z4" s="16">
        <v>23</v>
      </c>
      <c r="AA4" s="16">
        <v>24</v>
      </c>
      <c r="AB4" s="16">
        <v>25</v>
      </c>
      <c r="AC4" s="16">
        <v>26</v>
      </c>
      <c r="AD4" s="16">
        <v>27</v>
      </c>
      <c r="AE4" s="17">
        <v>28</v>
      </c>
      <c r="AF4" s="18">
        <v>29</v>
      </c>
      <c r="AG4" s="19">
        <v>30</v>
      </c>
      <c r="AH4" s="20">
        <v>31</v>
      </c>
    </row>
    <row r="5" spans="2:34">
      <c r="B5" s="21">
        <v>1</v>
      </c>
      <c r="C5" s="22" t="s">
        <v>1</v>
      </c>
      <c r="D5" s="23"/>
      <c r="E5" s="24"/>
      <c r="F5" s="24"/>
      <c r="G5" s="24"/>
      <c r="H5" s="24"/>
      <c r="I5" s="24"/>
      <c r="J5" s="25"/>
      <c r="K5" s="26"/>
      <c r="L5" s="24"/>
      <c r="M5" s="24"/>
      <c r="N5" s="24"/>
      <c r="O5" s="24"/>
      <c r="P5" s="24"/>
      <c r="Q5" s="25"/>
      <c r="R5" s="26"/>
      <c r="S5" s="24"/>
      <c r="T5" s="24"/>
      <c r="U5" s="24"/>
      <c r="V5" s="24"/>
      <c r="W5" s="24"/>
      <c r="X5" s="25"/>
      <c r="Y5" s="26"/>
      <c r="Z5" s="24"/>
      <c r="AA5" s="24"/>
      <c r="AB5" s="24"/>
      <c r="AC5" s="24"/>
      <c r="AD5" s="24"/>
      <c r="AE5" s="25"/>
      <c r="AF5" s="26"/>
      <c r="AG5" s="24"/>
      <c r="AH5" s="27"/>
    </row>
    <row r="6" spans="2:34">
      <c r="B6" s="28">
        <v>2</v>
      </c>
      <c r="C6" s="22" t="s">
        <v>2</v>
      </c>
      <c r="D6" s="29"/>
      <c r="E6" s="30"/>
      <c r="F6" s="30"/>
      <c r="G6" s="30"/>
      <c r="H6" s="30"/>
      <c r="I6" s="30"/>
      <c r="J6" s="31"/>
      <c r="K6" s="32"/>
      <c r="L6" s="30"/>
      <c r="M6" s="30"/>
      <c r="N6" s="30"/>
      <c r="O6" s="30"/>
      <c r="P6" s="30"/>
      <c r="Q6" s="31"/>
      <c r="R6" s="32"/>
      <c r="S6" s="30"/>
      <c r="T6" s="30"/>
      <c r="U6" s="30"/>
      <c r="V6" s="30"/>
      <c r="W6" s="30"/>
      <c r="X6" s="31"/>
      <c r="Y6" s="32"/>
      <c r="Z6" s="30"/>
      <c r="AA6" s="30"/>
      <c r="AB6" s="30"/>
      <c r="AC6" s="30"/>
      <c r="AD6" s="30"/>
      <c r="AE6" s="31"/>
      <c r="AF6" s="32"/>
      <c r="AG6" s="30"/>
      <c r="AH6" s="33"/>
    </row>
    <row r="7" spans="2:34">
      <c r="B7" s="28">
        <v>3</v>
      </c>
      <c r="C7" s="22" t="s">
        <v>3</v>
      </c>
      <c r="D7" s="29"/>
      <c r="E7" s="30"/>
      <c r="F7" s="30"/>
      <c r="G7" s="30"/>
      <c r="H7" s="30"/>
      <c r="I7" s="30"/>
      <c r="J7" s="31"/>
      <c r="K7" s="32"/>
      <c r="L7" s="30"/>
      <c r="M7" s="30"/>
      <c r="N7" s="30"/>
      <c r="O7" s="30"/>
      <c r="P7" s="30"/>
      <c r="Q7" s="31"/>
      <c r="R7" s="32"/>
      <c r="S7" s="30"/>
      <c r="T7" s="30"/>
      <c r="U7" s="30"/>
      <c r="V7" s="30"/>
      <c r="W7" s="30"/>
      <c r="X7" s="31"/>
      <c r="Y7" s="32"/>
      <c r="Z7" s="30"/>
      <c r="AA7" s="30"/>
      <c r="AB7" s="30"/>
      <c r="AC7" s="30"/>
      <c r="AD7" s="30"/>
      <c r="AE7" s="31"/>
      <c r="AF7" s="32"/>
      <c r="AG7" s="30"/>
      <c r="AH7" s="33"/>
    </row>
    <row r="8" spans="2:34">
      <c r="B8" s="28">
        <v>4</v>
      </c>
      <c r="C8" s="22" t="s">
        <v>4</v>
      </c>
      <c r="D8" s="29"/>
      <c r="E8" s="30"/>
      <c r="F8" s="30"/>
      <c r="G8" s="30"/>
      <c r="H8" s="30"/>
      <c r="I8" s="30"/>
      <c r="J8" s="31"/>
      <c r="K8" s="32"/>
      <c r="L8" s="30"/>
      <c r="M8" s="30"/>
      <c r="N8" s="30"/>
      <c r="O8" s="30"/>
      <c r="P8" s="30"/>
      <c r="Q8" s="31"/>
      <c r="R8" s="32"/>
      <c r="S8" s="30"/>
      <c r="T8" s="30"/>
      <c r="U8" s="30"/>
      <c r="V8" s="30"/>
      <c r="W8" s="30"/>
      <c r="X8" s="31"/>
      <c r="Y8" s="32"/>
      <c r="Z8" s="30"/>
      <c r="AA8" s="30"/>
      <c r="AB8" s="30"/>
      <c r="AC8" s="30"/>
      <c r="AD8" s="30"/>
      <c r="AE8" s="31"/>
      <c r="AF8" s="32"/>
      <c r="AG8" s="30"/>
      <c r="AH8" s="33"/>
    </row>
    <row r="9" spans="2:34">
      <c r="B9" s="28">
        <v>5</v>
      </c>
      <c r="C9" s="22" t="s">
        <v>5</v>
      </c>
      <c r="D9" s="29"/>
      <c r="E9" s="30"/>
      <c r="F9" s="30"/>
      <c r="G9" s="30"/>
      <c r="H9" s="30"/>
      <c r="I9" s="30"/>
      <c r="J9" s="31"/>
      <c r="K9" s="32"/>
      <c r="L9" s="30"/>
      <c r="M9" s="30"/>
      <c r="N9" s="30"/>
      <c r="O9" s="30"/>
      <c r="P9" s="30"/>
      <c r="Q9" s="31"/>
      <c r="R9" s="32"/>
      <c r="S9" s="30"/>
      <c r="T9" s="30"/>
      <c r="U9" s="30"/>
      <c r="V9" s="30"/>
      <c r="W9" s="30"/>
      <c r="X9" s="31"/>
      <c r="Y9" s="32"/>
      <c r="Z9" s="30"/>
      <c r="AA9" s="30"/>
      <c r="AB9" s="30"/>
      <c r="AC9" s="30"/>
      <c r="AD9" s="30"/>
      <c r="AE9" s="31"/>
      <c r="AF9" s="32"/>
      <c r="AG9" s="30"/>
      <c r="AH9" s="33"/>
    </row>
    <row r="10" spans="2:34">
      <c r="B10" s="28">
        <v>6</v>
      </c>
      <c r="C10" s="22" t="s">
        <v>6</v>
      </c>
      <c r="D10" s="29"/>
      <c r="E10" s="30"/>
      <c r="F10" s="30"/>
      <c r="G10" s="30"/>
      <c r="H10" s="30"/>
      <c r="I10" s="30"/>
      <c r="J10" s="31"/>
      <c r="K10" s="32"/>
      <c r="L10" s="30"/>
      <c r="M10" s="30"/>
      <c r="N10" s="30"/>
      <c r="O10" s="30"/>
      <c r="P10" s="30"/>
      <c r="Q10" s="31"/>
      <c r="R10" s="32"/>
      <c r="S10" s="30"/>
      <c r="T10" s="30"/>
      <c r="U10" s="30"/>
      <c r="V10" s="30"/>
      <c r="W10" s="30"/>
      <c r="X10" s="31"/>
      <c r="Y10" s="32"/>
      <c r="Z10" s="30"/>
      <c r="AA10" s="30"/>
      <c r="AB10" s="30"/>
      <c r="AC10" s="30"/>
      <c r="AD10" s="30"/>
      <c r="AE10" s="31"/>
      <c r="AF10" s="32"/>
      <c r="AG10" s="30"/>
      <c r="AH10" s="33"/>
    </row>
    <row r="11" spans="2:34" ht="16" thickBot="1">
      <c r="B11" s="34">
        <v>7</v>
      </c>
      <c r="C11" s="35" t="s">
        <v>7</v>
      </c>
      <c r="D11" s="36"/>
      <c r="E11" s="37"/>
      <c r="F11" s="37"/>
      <c r="G11" s="37"/>
      <c r="H11" s="37"/>
      <c r="I11" s="37"/>
      <c r="J11" s="38"/>
      <c r="K11" s="39"/>
      <c r="L11" s="37"/>
      <c r="M11" s="37"/>
      <c r="N11" s="37"/>
      <c r="O11" s="37"/>
      <c r="P11" s="37"/>
      <c r="Q11" s="38"/>
      <c r="R11" s="39"/>
      <c r="S11" s="37"/>
      <c r="T11" s="37"/>
      <c r="U11" s="37"/>
      <c r="V11" s="37"/>
      <c r="W11" s="37"/>
      <c r="X11" s="38"/>
      <c r="Y11" s="39"/>
      <c r="Z11" s="37"/>
      <c r="AA11" s="37"/>
      <c r="AB11" s="37"/>
      <c r="AC11" s="37"/>
      <c r="AD11" s="37"/>
      <c r="AE11" s="38"/>
      <c r="AF11" s="39"/>
      <c r="AG11" s="37"/>
      <c r="AH11" s="40"/>
    </row>
  </sheetData>
  <mergeCells count="5">
    <mergeCell ref="D3:J3"/>
    <mergeCell ref="K3:Q3"/>
    <mergeCell ref="R3:X3"/>
    <mergeCell ref="Y3:AE3"/>
    <mergeCell ref="AF3:AH3"/>
  </mergeCells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"/>
  <sheetViews>
    <sheetView zoomScale="40" zoomScaleNormal="40" workbookViewId="0"/>
  </sheetViews>
  <sheetFormatPr defaultRowHeight="12.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KOLOM ASET</vt:lpstr>
      <vt:lpstr>MASTER DATA</vt:lpstr>
      <vt:lpstr>DASHBOARD BULANAN</vt:lpstr>
      <vt:lpstr>INPUT TRANSAKSI</vt:lpstr>
      <vt:lpstr>DATA PENGELUARAN</vt:lpstr>
      <vt:lpstr>DATA TRANSAKSI</vt:lpstr>
      <vt:lpstr>PENGATURAN</vt:lpstr>
      <vt:lpstr>INPUT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MyBook PRO K5</dc:creator>
  <cp:lastModifiedBy>MyBook PRO K5</cp:lastModifiedBy>
  <dcterms:created xsi:type="dcterms:W3CDTF">2024-09-17T08:03:56Z</dcterms:created>
  <dcterms:modified xsi:type="dcterms:W3CDTF">2024-11-19T08:15:25Z</dcterms:modified>
</cp:coreProperties>
</file>