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1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 l="1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M89" i="1"/>
  <c r="M91" i="1"/>
  <c r="M93" i="1"/>
  <c r="M94" i="1"/>
  <c r="M88" i="1" l="1"/>
  <c r="M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<sst xmlns="http://schemas.openxmlformats.org/spreadsheetml/2006/main" count="863" uniqueCount="224">
  <si>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</si>
  <si>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</si>
  <si>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</si>
  <si>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</si>
  <si>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</si>
  <si>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</si>
  <si>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</si>
  <si>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</si>
  <si>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</si>
  <si>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</si>
  <si>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</si>
  <si>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</si>
  <si>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</si>
  <si>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</si>
  <si>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</si>
  <si>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</si>
  <si>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</si>
  <si>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</si>
  <si>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</si>
  <si>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</si>
  <si>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</si>
  <si>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</si>
  <si>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</si>
  <si>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</si>
  <si>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</si>
  <si>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</si>
  <si>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</si>
  <si>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</si>
  <si>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</si>
  <si>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</si>
  <si>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</si>
  <si>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</si>
  <si>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</si>
  <si>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</si>
  <si>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</si>
  <si>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</si>
  <si>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</si>
  <si>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</si>
  <si>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</si>
  <si>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</si>
  <si>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</si>
  <si>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</si>
  <si>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</si>
  <si>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</si>
  <si>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</si>
  <si>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</si>
  <si>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</si>
  <si>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</si>
  <si>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</si>
  <si>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</si>
  <si>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</si>
  <si>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</si>
  <si>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</si>
  <si>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</si>
  <si>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</si>
  <si>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</si>
  <si>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</si>
  <si>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</si>
  <si>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</si>
  <si>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</si>
  <si>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</si>
  <si>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</si>
  <si>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</si>
  <si>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</si>
  <si>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</si>
  <si>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</si>
  <si>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</si>
  <si>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</si>
  <si>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</si>
  <si>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</si>
  <si>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</si>
  <si>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</si>
  <si>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</si>
  <si>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</si>
  <si>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</si>
  <si>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</si>
  <si>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</si>
  <si>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</si>
  <si>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</si>
  <si>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</si>
  <si>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</si>
  <si>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</si>
  <si>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</si>
  <si>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</si>
  <si>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</si>
  <si>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</si>
  <si>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</si>
  <si>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</si>
  <si>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</si>
  <si>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</si>
  <si>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</si>
  <si>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</si>
  <si>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</si>
  <si>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</si>
  <si>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</si>
  <si>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</si>
  <si>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</si>
  <si>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</si>
  <si>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</si>
  <si>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</si>
  <si>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</si>
  <si>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</si>
  <si>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</si>
  <si>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</si>
  <si>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</si>
  <si>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</si>
  <si>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</si>
  <si>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</si>
  <si>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</si>
  <si>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</si>
  <si>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</si>
  <si>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</si>
  <si>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</si>
  <si>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</si>
  <si>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</si>
  <si>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</si>
  <si>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</si>
  <si>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</si>
  <si>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</si>
  <si>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</si>
  <si>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</si>
  <si>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</si>
  <si>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</si>
  <si>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</si>
  <si>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</si>
  <si>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</si>
  <si>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</si>
  <si>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</si>
  <si>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</si>
  <si>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</si>
  <si>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</si>
  <si>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</si>
  <si>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</si>
  <si>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</si>
  <si>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</si>
  <si>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</si>
  <si>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</si>
  <si>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</si>
  <si>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</si>
  <si>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</si>
  <si>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</si>
  <si>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</si>
  <si>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</si>
  <si>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</si>
  <si>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</si>
  <si>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</si>
  <si>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</si>
  <si>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</si>
  <si>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</si>
  <si>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</si>
  <si>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</si>
  <si>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</si>
  <si>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</si>
  <si>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</si>
  <si>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</si>
  <si>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</si>
  <si>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</si>
  <si>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</si>
  <si>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</si>
  <si>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</si>
  <si>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</si>
  <si>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</si>
  <si>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</si>
  <si>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</si>
  <si>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</si>
  <si>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</si>
  <si>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</si>
  <si>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</si>
  <si>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</si>
  <si>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</si>
  <si>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</si>
  <si>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</si>
  <si>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</si>
  <si>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</si>
  <si>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</si>
  <si>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</si>
  <si>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</si>
  <si>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</si>
  <si>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</si>
  <si>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</si>
  <si>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</si>
  <si>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</si>
  <si>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</si>
  <si>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</si>
  <si>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</si>
  <si>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</si>
  <si>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</si>
  <si>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</si>
  <si>
    <t>Ayam 2 ekor</t>
  </si>
  <si>
    <t>Bawang Putih</t>
  </si>
  <si>
    <t>Tisu</t>
  </si>
  <si>
    <t>Bumbu Ayam Goreng</t>
  </si>
  <si>
    <t>Sayur dan Tahu</t>
  </si>
  <si>
    <t>Gula Palm</t>
  </si>
  <si>
    <t>EBUTUHAN POKOK</t>
  </si>
  <si>
    <t>Susu SKM</t>
  </si>
  <si>
    <t>Minyak Tropical 2Liter</t>
  </si>
  <si>
    <t>Minyak</t>
  </si>
  <si>
    <t>Ultra Milk</t>
  </si>
  <si>
    <t>keju prochic</t>
  </si>
  <si>
    <t>Tissu Bayi</t>
  </si>
  <si>
    <t>Anak</t>
  </si>
  <si>
    <t>Vitamin Anak</t>
  </si>
  <si>
    <t>Obat Anak</t>
  </si>
  <si>
    <t>99-</t>
  </si>
  <si>
    <t>Kodom Odol</t>
  </si>
  <si>
    <t>Bayi</t>
  </si>
  <si>
    <t>Alfmart</t>
  </si>
  <si>
    <t>CussonBaby Oil</t>
  </si>
  <si>
    <t>Aflamart</t>
  </si>
  <si>
    <t>Soffel Nyamuk</t>
  </si>
  <si>
    <t>Susu Vidoran</t>
  </si>
  <si>
    <t>Warung</t>
  </si>
  <si>
    <t>Kaos Kaki Anak</t>
  </si>
  <si>
    <t>Anggur</t>
  </si>
  <si>
    <t>Kastok</t>
  </si>
  <si>
    <t>Hijab Masker</t>
  </si>
  <si>
    <t>Banyu Niur</t>
  </si>
  <si>
    <t>Banyu 2 galon</t>
  </si>
  <si>
    <t>Air</t>
  </si>
  <si>
    <t>Toko Galon</t>
  </si>
  <si>
    <t>Obat Abah Bodrek Flu Batuk</t>
  </si>
  <si>
    <t>Pale</t>
  </si>
  <si>
    <t>Molen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</si>
</sst>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10" fillId="0" borderId="0" xfId="0" applyFont="1" applyAlignment="1"/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202"/>
      <c r="M7" s="202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abSelected="1" topLeftCell="I53" zoomScale="70" zoomScaleNormal="70" workbookViewId="0">
      <selection activeCell="Q93" sqref="Q9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228" customWidth="1"/>
    <col min="15" max="15" width="35.85546875" style="228" bestFit="1" customWidth="1"/>
    <col min="16" max="16" width="16.140625" style="228" bestFit="1" customWidth="1"/>
    <col min="17" max="17" width="25.5703125" style="228" bestFit="1" customWidth="1"/>
    <col min="18" max="18" width="27.140625" style="228" bestFit="1" customWidth="1"/>
    <col min="19" max="19" width="28.5703125" style="228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81"/>
      <c r="M7" s="181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>
        <v>45604</v>
      </c>
      <c r="O42" s="226" t="s">
        <v>170</v>
      </c>
      <c r="P42" s="223">
        <v>15000</v>
      </c>
      <c r="Q42" s="226" t="s">
        <v>32</v>
      </c>
      <c r="R42" s="227" t="s">
        <v>161</v>
      </c>
      <c r="S42" s="225" t="s">
        <v>170</v>
      </c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>
        <v>45604</v>
      </c>
      <c r="O43" s="226" t="s">
        <v>173</v>
      </c>
      <c r="P43" s="223">
        <v>500000</v>
      </c>
      <c r="Q43" s="226" t="s">
        <v>4</v>
      </c>
      <c r="R43" s="227" t="s">
        <v>171</v>
      </c>
      <c r="S43" s="225" t="s">
        <v>172</v>
      </c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>
        <v>45604</v>
      </c>
      <c r="O44" s="226" t="s">
        <v>175</v>
      </c>
      <c r="P44" s="223">
        <v>37000</v>
      </c>
      <c r="Q44" s="226" t="s">
        <v>32</v>
      </c>
      <c r="R44" s="227" t="s">
        <v>161</v>
      </c>
      <c r="S44" s="225" t="s">
        <v>174</v>
      </c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>
        <v>45605</v>
      </c>
      <c r="O45" s="226" t="s">
        <v>176</v>
      </c>
      <c r="P45" s="223">
        <v>22000</v>
      </c>
      <c r="Q45" s="226" t="s">
        <v>32</v>
      </c>
      <c r="R45" s="227" t="s">
        <v>161</v>
      </c>
      <c r="S45" s="225" t="s">
        <v>174</v>
      </c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>
        <v>45605</v>
      </c>
      <c r="O46" s="226" t="s">
        <v>177</v>
      </c>
      <c r="P46" s="223">
        <v>16000</v>
      </c>
      <c r="Q46" s="226" t="s">
        <v>32</v>
      </c>
      <c r="R46" s="227" t="s">
        <v>161</v>
      </c>
      <c r="S46" s="225" t="s">
        <v>178</v>
      </c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>
        <v>45606</v>
      </c>
      <c r="O47" s="226" t="s">
        <v>179</v>
      </c>
      <c r="P47" s="223">
        <v>30000</v>
      </c>
      <c r="Q47" s="226" t="s">
        <v>32</v>
      </c>
      <c r="R47" s="227" t="s">
        <v>161</v>
      </c>
      <c r="S47" s="225" t="s">
        <v>180</v>
      </c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>
        <v>45606</v>
      </c>
      <c r="O48" s="182" t="s">
        <v>181</v>
      </c>
      <c r="P48" s="184">
        <v>18000</v>
      </c>
      <c r="Q48" s="182" t="s">
        <v>32</v>
      </c>
      <c r="R48" s="186" t="s">
        <v>161</v>
      </c>
      <c r="S48" s="185" t="s">
        <v>182</v>
      </c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221">
        <v>45606</v>
      </c>
      <c r="O49" s="226" t="s">
        <v>184</v>
      </c>
      <c r="P49" s="223">
        <v>25000</v>
      </c>
      <c r="Q49" s="226" t="s">
        <v>32</v>
      </c>
      <c r="R49" s="227" t="s">
        <v>183</v>
      </c>
      <c r="S49" s="225" t="s">
        <v>185</v>
      </c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221">
        <v>45608</v>
      </c>
      <c r="O50" s="226" t="s">
        <v>186</v>
      </c>
      <c r="P50" s="223">
        <v>21000</v>
      </c>
      <c r="Q50" s="226" t="s">
        <v>1</v>
      </c>
      <c r="R50" s="227" t="s">
        <v>161</v>
      </c>
      <c r="S50" s="225" t="s">
        <v>187</v>
      </c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221">
        <v>45608</v>
      </c>
      <c r="O51" s="226" t="s">
        <v>188</v>
      </c>
      <c r="P51" s="223">
        <v>110000</v>
      </c>
      <c r="Q51" s="226" t="s">
        <v>2</v>
      </c>
      <c r="R51" s="227" t="s">
        <v>154</v>
      </c>
      <c r="S51" s="225" t="s">
        <v>135</v>
      </c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221">
        <v>45608</v>
      </c>
      <c r="O52" s="226" t="s">
        <v>189</v>
      </c>
      <c r="P52" s="223">
        <v>12000</v>
      </c>
      <c r="Q52" s="226" t="s">
        <v>2</v>
      </c>
      <c r="R52" s="227" t="s">
        <v>163</v>
      </c>
      <c r="S52" s="225" t="s">
        <v>135</v>
      </c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221">
        <v>45608</v>
      </c>
      <c r="O53" s="226" t="s">
        <v>190</v>
      </c>
      <c r="P53" s="223">
        <v>30000</v>
      </c>
      <c r="Q53" s="226" t="s">
        <v>2</v>
      </c>
      <c r="R53" s="227" t="s">
        <v>190</v>
      </c>
      <c r="S53" s="225" t="s">
        <v>135</v>
      </c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221">
        <v>45608</v>
      </c>
      <c r="O54" s="226" t="s">
        <v>156</v>
      </c>
      <c r="P54" s="223">
        <v>10000</v>
      </c>
      <c r="Q54" s="226" t="s">
        <v>2</v>
      </c>
      <c r="R54" s="227" t="s">
        <v>156</v>
      </c>
      <c r="S54" s="225" t="s">
        <v>135</v>
      </c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221">
        <v>45608</v>
      </c>
      <c r="O55" s="222" t="s">
        <v>138</v>
      </c>
      <c r="P55" s="223">
        <v>5000</v>
      </c>
      <c r="Q55" s="222" t="s">
        <v>2</v>
      </c>
      <c r="R55" s="224" t="s">
        <v>161</v>
      </c>
      <c r="S55" s="225" t="s">
        <v>135</v>
      </c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221">
        <v>45608</v>
      </c>
      <c r="O56" s="226" t="s">
        <v>191</v>
      </c>
      <c r="P56" s="223">
        <v>12000</v>
      </c>
      <c r="Q56" s="226" t="s">
        <v>2</v>
      </c>
      <c r="R56" s="227" t="s">
        <v>161</v>
      </c>
      <c r="S56" s="225" t="s">
        <v>135</v>
      </c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221">
        <v>45608</v>
      </c>
      <c r="O57" s="226" t="s">
        <v>192</v>
      </c>
      <c r="P57" s="223">
        <v>13000</v>
      </c>
      <c r="Q57" s="226" t="s">
        <v>2</v>
      </c>
      <c r="R57" s="227" t="s">
        <v>161</v>
      </c>
      <c r="S57" s="225" t="s">
        <v>135</v>
      </c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221">
        <v>45608</v>
      </c>
      <c r="O58" s="226" t="s">
        <v>193</v>
      </c>
      <c r="P58" s="223">
        <v>10000</v>
      </c>
      <c r="Q58" s="226" t="s">
        <v>194</v>
      </c>
      <c r="R58" s="227" t="s">
        <v>161</v>
      </c>
      <c r="S58" s="225" t="s">
        <v>135</v>
      </c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221">
        <v>45608</v>
      </c>
      <c r="O59" s="226" t="s">
        <v>195</v>
      </c>
      <c r="P59" s="223">
        <v>10000</v>
      </c>
      <c r="Q59" s="226" t="s">
        <v>194</v>
      </c>
      <c r="R59" s="227" t="s">
        <v>161</v>
      </c>
      <c r="S59" s="225" t="s">
        <v>135</v>
      </c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221">
        <v>45610</v>
      </c>
      <c r="O60" s="226" t="s">
        <v>196</v>
      </c>
      <c r="P60" s="223">
        <v>38900</v>
      </c>
      <c r="Q60" s="226" t="s">
        <v>2</v>
      </c>
      <c r="R60" s="227" t="s">
        <v>197</v>
      </c>
      <c r="S60" s="225" t="s">
        <v>2</v>
      </c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221">
        <v>45610</v>
      </c>
      <c r="O61" s="222" t="s">
        <v>198</v>
      </c>
      <c r="P61" s="223">
        <v>8200</v>
      </c>
      <c r="Q61" s="222" t="s">
        <v>2</v>
      </c>
      <c r="R61" s="224" t="s">
        <v>161</v>
      </c>
      <c r="S61" s="225" t="s">
        <v>124</v>
      </c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221">
        <v>45610</v>
      </c>
      <c r="O62" s="226" t="s">
        <v>199</v>
      </c>
      <c r="P62" s="223">
        <v>16400</v>
      </c>
      <c r="Q62" s="226" t="s">
        <v>2</v>
      </c>
      <c r="R62" s="227" t="s">
        <v>161</v>
      </c>
      <c r="S62" s="225" t="s">
        <v>124</v>
      </c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221">
        <v>45610</v>
      </c>
      <c r="O63" s="226" t="s">
        <v>200</v>
      </c>
      <c r="P63" s="223">
        <v>11900</v>
      </c>
      <c r="Q63" s="226" t="s">
        <v>2</v>
      </c>
      <c r="R63" s="227" t="s">
        <v>201</v>
      </c>
      <c r="S63" s="225" t="s">
        <v>124</v>
      </c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221">
        <v>45610</v>
      </c>
      <c r="O64" s="226"/>
      <c r="P64" s="223"/>
      <c r="Q64" s="226"/>
      <c r="R64" s="227"/>
      <c r="S64" s="22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221">
        <v>45610</v>
      </c>
      <c r="O65" s="226" t="s">
        <v>202</v>
      </c>
      <c r="P65" s="223">
        <v>47000</v>
      </c>
      <c r="Q65" s="226" t="s">
        <v>6</v>
      </c>
      <c r="R65" s="227" t="s">
        <v>183</v>
      </c>
      <c r="S65" s="225" t="s">
        <v>185</v>
      </c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221">
        <v>45610</v>
      </c>
      <c r="O66" s="226"/>
      <c r="P66" s="223"/>
      <c r="Q66" s="226"/>
      <c r="R66" s="227"/>
      <c r="S66" s="22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221">
        <v>45610</v>
      </c>
      <c r="O67" s="226" t="s">
        <v>203</v>
      </c>
      <c r="P67" s="223">
        <v>15000</v>
      </c>
      <c r="Q67" s="226" t="s">
        <v>6</v>
      </c>
      <c r="R67" s="227" t="s">
        <v>183</v>
      </c>
      <c r="S67" s="225" t="s">
        <v>185</v>
      </c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221">
        <v>45611</v>
      </c>
      <c r="O68" s="222" t="s">
        <v>205</v>
      </c>
      <c r="P68" s="223">
        <v>6200</v>
      </c>
      <c r="Q68" s="222" t="s">
        <v>6</v>
      </c>
      <c r="R68" s="224" t="s">
        <v>206</v>
      </c>
      <c r="S68" s="225" t="s">
        <v>124</v>
      </c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221">
        <v>45611</v>
      </c>
      <c r="O69" s="226" t="s">
        <v>208</v>
      </c>
      <c r="P69" s="223">
        <v>24700</v>
      </c>
      <c r="Q69" s="226" t="s">
        <v>6</v>
      </c>
      <c r="R69" s="227" t="s">
        <v>206</v>
      </c>
      <c r="S69" s="225" t="s">
        <v>209</v>
      </c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221">
        <v>45611</v>
      </c>
      <c r="O70" s="226" t="s">
        <v>210</v>
      </c>
      <c r="P70" s="223">
        <v>12900</v>
      </c>
      <c r="Q70" s="226" t="s">
        <v>6</v>
      </c>
      <c r="R70" s="227" t="s">
        <v>201</v>
      </c>
      <c r="S70" s="225" t="s">
        <v>207</v>
      </c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221">
        <v>45611</v>
      </c>
      <c r="O71" s="226" t="s">
        <v>211</v>
      </c>
      <c r="P71" s="223">
        <v>75900</v>
      </c>
      <c r="Q71" s="226" t="s">
        <v>6</v>
      </c>
      <c r="R71" s="227" t="s">
        <v>126</v>
      </c>
      <c r="S71" s="225" t="s">
        <v>124</v>
      </c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221">
        <v>45611</v>
      </c>
      <c r="O72" s="226" t="s">
        <v>170</v>
      </c>
      <c r="P72" s="223">
        <v>10000</v>
      </c>
      <c r="Q72" s="226" t="s">
        <v>3</v>
      </c>
      <c r="R72" s="227" t="s">
        <v>161</v>
      </c>
      <c r="S72" s="225" t="s">
        <v>212</v>
      </c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221">
        <v>45612</v>
      </c>
      <c r="O73" s="226" t="s">
        <v>188</v>
      </c>
      <c r="P73" s="223">
        <v>120000</v>
      </c>
      <c r="Q73" s="226" t="s">
        <v>2</v>
      </c>
      <c r="R73" s="227" t="s">
        <v>154</v>
      </c>
      <c r="S73" s="225" t="s">
        <v>135</v>
      </c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221">
        <v>45612</v>
      </c>
      <c r="O74" s="222" t="s">
        <v>189</v>
      </c>
      <c r="P74" s="223">
        <v>12000</v>
      </c>
      <c r="Q74" s="222" t="s">
        <v>2</v>
      </c>
      <c r="R74" s="224" t="s">
        <v>161</v>
      </c>
      <c r="S74" s="225" t="s">
        <v>135</v>
      </c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221">
        <v>45612</v>
      </c>
      <c r="O75" s="226" t="s">
        <v>137</v>
      </c>
      <c r="P75" s="223">
        <v>55000</v>
      </c>
      <c r="Q75" s="226" t="s">
        <v>2</v>
      </c>
      <c r="R75" s="227" t="s">
        <v>161</v>
      </c>
      <c r="S75" s="225" t="s">
        <v>135</v>
      </c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221">
        <v>45612</v>
      </c>
      <c r="O76" s="226" t="s">
        <v>138</v>
      </c>
      <c r="P76" s="223">
        <v>7000</v>
      </c>
      <c r="Q76" s="226" t="s">
        <v>2</v>
      </c>
      <c r="R76" s="227" t="s">
        <v>161</v>
      </c>
      <c r="S76" s="225" t="s">
        <v>135</v>
      </c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221">
        <v>45612</v>
      </c>
      <c r="O77" s="226" t="s">
        <v>213</v>
      </c>
      <c r="P77" s="223">
        <v>15000</v>
      </c>
      <c r="Q77" s="226" t="s">
        <v>2</v>
      </c>
      <c r="R77" s="227" t="s">
        <v>201</v>
      </c>
      <c r="S77" s="225" t="s">
        <v>135</v>
      </c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221">
        <v>45612</v>
      </c>
      <c r="O78" s="226" t="s">
        <v>214</v>
      </c>
      <c r="P78" s="223">
        <v>10000</v>
      </c>
      <c r="Q78" s="226" t="s">
        <v>2</v>
      </c>
      <c r="R78" s="227" t="s">
        <v>161</v>
      </c>
      <c r="S78" s="225" t="s">
        <v>135</v>
      </c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221">
        <v>45612</v>
      </c>
      <c r="O79" s="226" t="s">
        <v>215</v>
      </c>
      <c r="P79" s="223">
        <v>7000</v>
      </c>
      <c r="Q79" s="226" t="s">
        <v>2</v>
      </c>
      <c r="R79" s="227" t="s">
        <v>2</v>
      </c>
      <c r="S79" s="225" t="s">
        <v>135</v>
      </c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221">
        <v>45612</v>
      </c>
      <c r="O80" s="226"/>
      <c r="P80" s="223"/>
      <c r="Q80" s="226"/>
      <c r="R80" s="227"/>
      <c r="S80" s="22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221">
        <v>45612</v>
      </c>
      <c r="O81" s="226" t="s">
        <v>166</v>
      </c>
      <c r="P81" s="223">
        <v>8000</v>
      </c>
      <c r="Q81" s="226" t="s">
        <v>2</v>
      </c>
      <c r="R81" s="227" t="s">
        <v>161</v>
      </c>
      <c r="S81" s="225" t="s">
        <v>135</v>
      </c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221">
        <v>45612</v>
      </c>
      <c r="O82" s="222" t="s">
        <v>216</v>
      </c>
      <c r="P82" s="223">
        <v>15000</v>
      </c>
      <c r="Q82" s="222" t="s">
        <v>2</v>
      </c>
      <c r="R82" s="224" t="s">
        <v>105</v>
      </c>
      <c r="S82" s="225" t="s">
        <v>135</v>
      </c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221">
        <v>45612</v>
      </c>
      <c r="O83" s="226" t="s">
        <v>217</v>
      </c>
      <c r="P83" s="223">
        <v>12000</v>
      </c>
      <c r="Q83" s="226" t="s">
        <v>2</v>
      </c>
      <c r="R83" s="227" t="s">
        <v>161</v>
      </c>
      <c r="S83" s="225" t="s">
        <v>135</v>
      </c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221">
        <v>45613</v>
      </c>
      <c r="O84" s="226" t="s">
        <v>218</v>
      </c>
      <c r="P84" s="223">
        <v>10000</v>
      </c>
      <c r="Q84" s="226" t="s">
        <v>2</v>
      </c>
      <c r="R84" s="227" t="s">
        <v>219</v>
      </c>
      <c r="S84" s="225" t="s">
        <v>220</v>
      </c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221">
        <v>45613</v>
      </c>
      <c r="O85" s="226" t="s">
        <v>221</v>
      </c>
      <c r="P85" s="223">
        <v>10000</v>
      </c>
      <c r="Q85" s="226" t="s">
        <v>2</v>
      </c>
      <c r="R85" s="227" t="s">
        <v>183</v>
      </c>
      <c r="S85" s="225" t="s">
        <v>185</v>
      </c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221">
        <v>45613</v>
      </c>
      <c r="O86" s="226" t="s">
        <v>179</v>
      </c>
      <c r="P86" s="223">
        <v>30000</v>
      </c>
      <c r="Q86" s="226" t="s">
        <v>2</v>
      </c>
      <c r="R86" s="227" t="s">
        <v>161</v>
      </c>
      <c r="S86" s="225" t="s">
        <v>222</v>
      </c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221">
        <v>45613</v>
      </c>
      <c r="O87" s="226" t="s">
        <v>223</v>
      </c>
      <c r="P87" s="223">
        <v>5000</v>
      </c>
      <c r="Q87" s="226" t="s">
        <v>2</v>
      </c>
      <c r="R87" s="227" t="s">
        <v>161</v>
      </c>
      <c r="S87" s="225" t="s">
        <v>212</v>
      </c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221"/>
      <c r="O88" s="222"/>
      <c r="P88" s="223"/>
      <c r="Q88" s="222"/>
      <c r="R88" s="224"/>
      <c r="S88" s="22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221"/>
      <c r="O89" s="226"/>
      <c r="P89" s="223"/>
      <c r="Q89" s="226"/>
      <c r="R89" s="227"/>
      <c r="S89" s="22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221"/>
      <c r="O90" s="226"/>
      <c r="P90" s="223"/>
      <c r="Q90" s="226"/>
      <c r="R90" s="227"/>
      <c r="S90" s="22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221"/>
      <c r="O91" s="226"/>
      <c r="P91" s="223"/>
      <c r="Q91" s="226"/>
      <c r="R91" s="227"/>
      <c r="S91" s="22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221"/>
      <c r="O92" s="226"/>
      <c r="P92" s="223"/>
      <c r="Q92" s="226"/>
      <c r="R92" s="227"/>
      <c r="S92" s="22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221"/>
      <c r="O93" s="226"/>
      <c r="P93" s="223"/>
      <c r="Q93" s="226"/>
      <c r="R93" s="227"/>
      <c r="S93" s="22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221"/>
      <c r="O94" s="222"/>
      <c r="P94" s="223"/>
      <c r="Q94" s="222"/>
      <c r="R94" s="224"/>
      <c r="S94" s="22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221"/>
      <c r="O95" s="226"/>
      <c r="P95" s="223"/>
      <c r="Q95" s="226"/>
      <c r="R95" s="227"/>
      <c r="S95" s="22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221"/>
      <c r="O96" s="226"/>
      <c r="P96" s="223"/>
      <c r="Q96" s="226"/>
      <c r="R96" s="227"/>
      <c r="S96" s="22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221"/>
      <c r="O97" s="226"/>
      <c r="P97" s="223"/>
      <c r="Q97" s="226"/>
      <c r="R97" s="227"/>
      <c r="S97" s="22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221"/>
      <c r="O98" s="226"/>
      <c r="P98" s="223"/>
      <c r="Q98" s="226"/>
      <c r="R98" s="227"/>
      <c r="S98" s="22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221"/>
      <c r="O99" s="226"/>
      <c r="P99" s="223"/>
      <c r="Q99" s="226"/>
      <c r="R99" s="227"/>
      <c r="S99" s="22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221"/>
      <c r="O100" s="222"/>
      <c r="P100" s="223"/>
      <c r="Q100" s="222"/>
      <c r="R100" s="224"/>
      <c r="S100" s="22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221"/>
      <c r="O101" s="226"/>
      <c r="P101" s="223"/>
      <c r="Q101" s="226"/>
      <c r="R101" s="227"/>
      <c r="S101" s="22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221"/>
      <c r="O102" s="226"/>
      <c r="P102" s="223"/>
      <c r="Q102" s="226"/>
      <c r="R102" s="227"/>
      <c r="S102" s="22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221"/>
      <c r="O103" s="222"/>
      <c r="P103" s="223"/>
      <c r="Q103" s="222"/>
      <c r="R103" s="224"/>
      <c r="S103" s="22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221"/>
      <c r="O104" s="226"/>
      <c r="P104" s="223"/>
      <c r="Q104" s="226"/>
      <c r="R104" s="227"/>
      <c r="S104" s="22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221"/>
      <c r="O105" s="226"/>
      <c r="P105" s="223"/>
      <c r="Q105" s="226"/>
      <c r="R105" s="227"/>
      <c r="S105" s="22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221"/>
      <c r="O106" s="226"/>
      <c r="P106" s="223"/>
      <c r="Q106" s="226"/>
      <c r="R106" s="227"/>
      <c r="S106" s="22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221"/>
      <c r="O107" s="226"/>
      <c r="P107" s="223"/>
      <c r="Q107" s="226"/>
      <c r="R107" s="227"/>
      <c r="S107" s="22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221"/>
      <c r="O108" s="226"/>
      <c r="P108" s="223"/>
      <c r="Q108" s="226"/>
      <c r="R108" s="227"/>
      <c r="S108" s="22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221"/>
      <c r="O109" s="226"/>
      <c r="P109" s="223"/>
      <c r="Q109" s="226"/>
      <c r="R109" s="227"/>
      <c r="S109" s="22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221"/>
      <c r="O110" s="222"/>
      <c r="P110" s="223"/>
      <c r="Q110" s="222"/>
      <c r="R110" s="224"/>
      <c r="S110" s="22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221"/>
      <c r="O111" s="226"/>
      <c r="P111" s="223"/>
      <c r="Q111" s="226"/>
      <c r="R111" s="227"/>
      <c r="S111" s="22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221"/>
      <c r="O112" s="226"/>
      <c r="P112" s="223"/>
      <c r="Q112" s="226"/>
      <c r="R112" s="227"/>
      <c r="S112" s="22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221"/>
      <c r="O113" s="226"/>
      <c r="P113" s="223"/>
      <c r="Q113" s="226"/>
      <c r="R113" s="227"/>
      <c r="S113" s="22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221"/>
      <c r="O114" s="226"/>
      <c r="P114" s="223"/>
      <c r="Q114" s="226"/>
      <c r="R114" s="227"/>
      <c r="S114" s="22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221"/>
      <c r="O115" s="226"/>
      <c r="P115" s="223"/>
      <c r="Q115" s="226"/>
      <c r="R115" s="227"/>
      <c r="S115" s="22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221"/>
      <c r="O116" s="222"/>
      <c r="P116" s="223"/>
      <c r="Q116" s="222"/>
      <c r="R116" s="224"/>
      <c r="S116" s="22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221"/>
      <c r="O117" s="226"/>
      <c r="P117" s="223"/>
      <c r="Q117" s="226"/>
      <c r="R117" s="227"/>
      <c r="S117" s="22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221"/>
      <c r="O118" s="226"/>
      <c r="P118" s="223"/>
      <c r="Q118" s="226"/>
      <c r="R118" s="227"/>
      <c r="S118" s="22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221"/>
      <c r="O119" s="226"/>
      <c r="P119" s="223"/>
      <c r="Q119" s="226"/>
      <c r="R119" s="227"/>
      <c r="S119" s="22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221"/>
      <c r="O120" s="226"/>
      <c r="P120" s="223"/>
      <c r="Q120" s="226"/>
      <c r="R120" s="227"/>
      <c r="S120" s="22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221"/>
      <c r="O121" s="226"/>
      <c r="P121" s="223"/>
      <c r="Q121" s="226"/>
      <c r="R121" s="227"/>
      <c r="S121" s="22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221"/>
      <c r="O122" s="226"/>
      <c r="P122" s="223"/>
      <c r="Q122" s="226"/>
      <c r="R122" s="227"/>
      <c r="S122" s="22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221"/>
      <c r="O123" s="226"/>
      <c r="P123" s="223"/>
      <c r="Q123" s="226"/>
      <c r="R123" s="227"/>
      <c r="S123" s="22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221"/>
      <c r="O124" s="222"/>
      <c r="P124" s="223"/>
      <c r="Q124" s="222"/>
      <c r="R124" s="224"/>
      <c r="S124" s="22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221"/>
      <c r="O125" s="226"/>
      <c r="P125" s="223"/>
      <c r="Q125" s="226"/>
      <c r="R125" s="227"/>
      <c r="S125" s="22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221"/>
      <c r="O126" s="226"/>
      <c r="P126" s="223"/>
      <c r="Q126" s="226"/>
      <c r="R126" s="227"/>
      <c r="S126" s="22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221"/>
      <c r="O127" s="226"/>
      <c r="P127" s="223"/>
      <c r="Q127" s="226"/>
      <c r="R127" s="227"/>
      <c r="S127" s="22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221"/>
      <c r="O128" s="226"/>
      <c r="P128" s="223"/>
      <c r="Q128" s="226"/>
      <c r="R128" s="227"/>
      <c r="S128" s="22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221"/>
      <c r="O129" s="226"/>
      <c r="P129" s="223"/>
      <c r="Q129" s="226"/>
      <c r="R129" s="227"/>
      <c r="S129" s="22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221"/>
      <c r="O130" s="222"/>
      <c r="P130" s="223"/>
      <c r="Q130" s="222"/>
      <c r="R130" s="224"/>
      <c r="S130" s="22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221"/>
      <c r="O131" s="226"/>
      <c r="P131" s="223"/>
      <c r="Q131" s="226"/>
      <c r="R131" s="227"/>
      <c r="S131" s="22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221"/>
      <c r="O132" s="226"/>
      <c r="P132" s="223"/>
      <c r="Q132" s="226"/>
      <c r="R132" s="227"/>
      <c r="S132" s="22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221"/>
      <c r="O133" s="226"/>
      <c r="P133" s="223"/>
      <c r="Q133" s="226"/>
      <c r="R133" s="227"/>
      <c r="S133" s="22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221"/>
      <c r="O134" s="226"/>
      <c r="P134" s="223"/>
      <c r="Q134" s="226"/>
      <c r="R134" s="227"/>
      <c r="S134" s="22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221"/>
      <c r="O135" s="226"/>
      <c r="P135" s="223"/>
      <c r="Q135" s="226"/>
      <c r="R135" s="227"/>
      <c r="S135" s="22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221"/>
      <c r="O136" s="222"/>
      <c r="P136" s="223"/>
      <c r="Q136" s="222"/>
      <c r="R136" s="224"/>
      <c r="S136" s="22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221"/>
      <c r="O137" s="226"/>
      <c r="P137" s="223"/>
      <c r="Q137" s="226"/>
      <c r="R137" s="227"/>
      <c r="S137" s="22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221"/>
      <c r="O138" s="226"/>
      <c r="P138" s="223"/>
      <c r="Q138" s="226"/>
      <c r="R138" s="227"/>
      <c r="S138" s="22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221"/>
      <c r="O139" s="226"/>
      <c r="P139" s="223"/>
      <c r="Q139" s="226"/>
      <c r="R139" s="227"/>
      <c r="S139" s="22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221"/>
      <c r="O140" s="226"/>
      <c r="P140" s="223"/>
      <c r="Q140" s="226"/>
      <c r="R140" s="227"/>
      <c r="S140" s="22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221"/>
      <c r="O141" s="226"/>
      <c r="P141" s="223"/>
      <c r="Q141" s="226"/>
      <c r="R141" s="227"/>
      <c r="S141" s="22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221"/>
      <c r="O142" s="222"/>
      <c r="P142" s="223"/>
      <c r="Q142" s="222"/>
      <c r="R142" s="224"/>
      <c r="S142" s="22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221"/>
      <c r="O143" s="226"/>
      <c r="P143" s="223"/>
      <c r="Q143" s="226"/>
      <c r="R143" s="227"/>
      <c r="S143" s="22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221"/>
      <c r="O144" s="226"/>
      <c r="P144" s="223"/>
      <c r="Q144" s="226"/>
      <c r="R144" s="227"/>
      <c r="S144" s="22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221"/>
      <c r="O145" s="222"/>
      <c r="P145" s="223"/>
      <c r="Q145" s="222"/>
      <c r="R145" s="224"/>
      <c r="S145" s="22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221"/>
      <c r="O146" s="226"/>
      <c r="P146" s="223"/>
      <c r="Q146" s="226"/>
      <c r="R146" s="227"/>
      <c r="S146" s="22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221"/>
      <c r="O147" s="226"/>
      <c r="P147" s="223"/>
      <c r="Q147" s="226"/>
      <c r="R147" s="227"/>
      <c r="S147" s="22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221"/>
      <c r="O148" s="226"/>
      <c r="P148" s="223"/>
      <c r="Q148" s="226"/>
      <c r="R148" s="227"/>
      <c r="S148" s="22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221"/>
      <c r="O149" s="226"/>
      <c r="P149" s="223"/>
      <c r="Q149" s="226"/>
      <c r="R149" s="227"/>
      <c r="S149" s="225"/>
    </row>
    <row r="150" spans="6:29" ht="15.75" customHeight="1">
      <c r="N150" s="221"/>
      <c r="O150" s="226"/>
      <c r="P150" s="223"/>
      <c r="Q150" s="226"/>
      <c r="R150" s="227"/>
      <c r="S150" s="225"/>
    </row>
    <row r="151" spans="6:29" ht="15.75" customHeight="1">
      <c r="N151" s="221"/>
      <c r="O151" s="226"/>
      <c r="P151" s="223"/>
      <c r="Q151" s="226"/>
      <c r="R151" s="227"/>
      <c r="S151" s="225"/>
    </row>
    <row r="152" spans="6:29" ht="15.75" customHeight="1">
      <c r="N152" s="221"/>
      <c r="O152" s="222"/>
      <c r="P152" s="223"/>
      <c r="Q152" s="222"/>
      <c r="R152" s="224"/>
      <c r="S152" s="225"/>
    </row>
    <row r="153" spans="6:29" ht="15.75" customHeight="1">
      <c r="N153" s="221"/>
      <c r="O153" s="226"/>
      <c r="P153" s="223"/>
      <c r="Q153" s="226"/>
      <c r="R153" s="227"/>
      <c r="S153" s="225"/>
    </row>
    <row r="154" spans="6:29" ht="15.75" customHeight="1">
      <c r="N154" s="221"/>
      <c r="O154" s="226"/>
      <c r="P154" s="223"/>
      <c r="Q154" s="226"/>
      <c r="R154" s="227"/>
      <c r="S154" s="225"/>
    </row>
    <row r="155" spans="6:29" ht="15.75" customHeight="1">
      <c r="N155" s="221"/>
      <c r="O155" s="226"/>
      <c r="P155" s="223"/>
      <c r="Q155" s="226"/>
      <c r="R155" s="227"/>
      <c r="S155" s="225"/>
    </row>
    <row r="156" spans="6:29" ht="15.75" customHeight="1">
      <c r="N156" s="221"/>
      <c r="O156" s="226"/>
      <c r="P156" s="223"/>
      <c r="Q156" s="226"/>
      <c r="R156" s="227"/>
      <c r="S156" s="225"/>
    </row>
    <row r="157" spans="6:29" ht="15.75" customHeight="1">
      <c r="N157" s="221"/>
      <c r="O157" s="226"/>
      <c r="P157" s="223"/>
      <c r="Q157" s="226"/>
      <c r="R157" s="227"/>
      <c r="S157" s="225"/>
    </row>
    <row r="158" spans="6:29" ht="15.75" customHeight="1">
      <c r="N158" s="221"/>
      <c r="O158" s="222"/>
      <c r="P158" s="223"/>
      <c r="Q158" s="222"/>
      <c r="R158" s="224"/>
      <c r="S158" s="225"/>
    </row>
    <row r="159" spans="6:29" ht="15.75" customHeight="1">
      <c r="N159" s="221"/>
      <c r="O159" s="226"/>
      <c r="P159" s="223"/>
      <c r="Q159" s="226"/>
      <c r="R159" s="227"/>
      <c r="S159" s="225"/>
    </row>
    <row r="160" spans="6:29" ht="15.75" customHeight="1">
      <c r="N160" s="221"/>
      <c r="O160" s="226"/>
      <c r="P160" s="223"/>
      <c r="Q160" s="226"/>
      <c r="R160" s="227"/>
      <c r="S160" s="225"/>
    </row>
    <row r="161" spans="14:19" ht="15.75" customHeight="1">
      <c r="N161" s="221"/>
      <c r="O161" s="226"/>
      <c r="P161" s="223"/>
      <c r="Q161" s="226"/>
      <c r="R161" s="227"/>
      <c r="S161" s="225"/>
    </row>
    <row r="162" spans="14:19" ht="15.75" customHeight="1">
      <c r="N162" s="221"/>
      <c r="O162" s="226"/>
      <c r="P162" s="223"/>
      <c r="Q162" s="226"/>
      <c r="R162" s="227"/>
      <c r="S162" s="225"/>
    </row>
    <row r="163" spans="14:19" ht="15.75" customHeight="1">
      <c r="N163" s="221"/>
      <c r="O163" s="226"/>
      <c r="P163" s="223"/>
      <c r="Q163" s="226"/>
      <c r="R163" s="227"/>
      <c r="S163" s="225"/>
    </row>
    <row r="164" spans="14:19" ht="15.75" customHeight="1">
      <c r="N164" s="221"/>
      <c r="O164" s="226"/>
      <c r="P164" s="223"/>
      <c r="Q164" s="226"/>
      <c r="R164" s="227"/>
      <c r="S164" s="225"/>
    </row>
    <row r="165" spans="14:19" ht="15.75" customHeight="1">
      <c r="N165" s="221"/>
      <c r="O165" s="226"/>
      <c r="P165" s="223"/>
      <c r="Q165" s="226"/>
      <c r="R165" s="227"/>
      <c r="S165" s="225"/>
    </row>
    <row r="166" spans="14:19" ht="15.75" customHeight="1">
      <c r="N166" s="221"/>
      <c r="O166" s="222"/>
      <c r="P166" s="223"/>
      <c r="Q166" s="222"/>
      <c r="R166" s="224"/>
      <c r="S166" s="225"/>
    </row>
    <row r="167" spans="14:19" ht="15.75" customHeight="1">
      <c r="N167" s="221"/>
      <c r="O167" s="226"/>
      <c r="P167" s="223"/>
      <c r="Q167" s="226"/>
      <c r="R167" s="227"/>
      <c r="S167" s="225"/>
    </row>
    <row r="168" spans="14:19" ht="15.75" customHeight="1">
      <c r="N168" s="221"/>
      <c r="O168" s="226"/>
      <c r="P168" s="223"/>
      <c r="Q168" s="226"/>
      <c r="R168" s="227"/>
      <c r="S168" s="225"/>
    </row>
    <row r="169" spans="14:19" ht="15.75" customHeight="1">
      <c r="N169" s="221"/>
      <c r="O169" s="226"/>
      <c r="P169" s="223"/>
      <c r="Q169" s="226"/>
      <c r="R169" s="227"/>
      <c r="S169" s="225"/>
    </row>
    <row r="170" spans="14:19" ht="15.75" customHeight="1">
      <c r="N170" s="221"/>
      <c r="O170" s="226"/>
      <c r="P170" s="223"/>
      <c r="Q170" s="226"/>
      <c r="R170" s="227"/>
      <c r="S170" s="225"/>
    </row>
    <row r="171" spans="14:19" ht="15.75" customHeight="1">
      <c r="N171" s="221"/>
      <c r="O171" s="226"/>
      <c r="P171" s="223"/>
      <c r="Q171" s="226"/>
      <c r="R171" s="227"/>
      <c r="S171" s="225"/>
    </row>
    <row r="172" spans="14:19" ht="15.75" customHeight="1">
      <c r="N172" s="221"/>
      <c r="O172" s="222"/>
      <c r="P172" s="223"/>
      <c r="Q172" s="222"/>
      <c r="R172" s="224"/>
      <c r="S172" s="225"/>
    </row>
    <row r="173" spans="14:19" ht="15.75" customHeight="1">
      <c r="N173" s="221"/>
      <c r="O173" s="226"/>
      <c r="P173" s="223"/>
      <c r="Q173" s="226"/>
      <c r="R173" s="227"/>
      <c r="S173" s="225"/>
    </row>
    <row r="174" spans="14:19" ht="15.75" customHeight="1">
      <c r="N174" s="221"/>
      <c r="O174" s="226"/>
      <c r="P174" s="223"/>
      <c r="Q174" s="226"/>
      <c r="R174" s="227"/>
      <c r="S174" s="225"/>
    </row>
    <row r="175" spans="14:19" ht="15.75" customHeight="1">
      <c r="N175" s="221"/>
      <c r="O175" s="226"/>
      <c r="P175" s="223"/>
      <c r="Q175" s="226"/>
      <c r="R175" s="227"/>
      <c r="S175" s="225"/>
    </row>
    <row r="176" spans="14:19" ht="15.75" customHeight="1">
      <c r="N176" s="221"/>
      <c r="O176" s="226"/>
      <c r="P176" s="223"/>
      <c r="Q176" s="226"/>
      <c r="R176" s="227"/>
      <c r="S176" s="225"/>
    </row>
    <row r="177" spans="14:19" ht="15.75" customHeight="1">
      <c r="N177" s="221"/>
      <c r="O177" s="226"/>
      <c r="P177" s="223"/>
      <c r="Q177" s="226"/>
      <c r="R177" s="227"/>
      <c r="S177" s="225"/>
    </row>
    <row r="178" spans="14:19" ht="15.75" customHeight="1">
      <c r="N178" s="221"/>
      <c r="O178" s="222"/>
      <c r="P178" s="223"/>
      <c r="Q178" s="222"/>
      <c r="R178" s="224"/>
      <c r="S178" s="225"/>
    </row>
    <row r="179" spans="14:19" ht="15.75" customHeight="1">
      <c r="N179" s="221"/>
      <c r="O179" s="226"/>
      <c r="P179" s="223"/>
      <c r="Q179" s="226"/>
      <c r="R179" s="227"/>
      <c r="S179" s="225"/>
    </row>
    <row r="180" spans="14:19" ht="15.75" customHeight="1">
      <c r="N180" s="221"/>
      <c r="O180" s="226"/>
      <c r="P180" s="223"/>
      <c r="Q180" s="226"/>
      <c r="R180" s="227"/>
      <c r="S180" s="225"/>
    </row>
    <row r="181" spans="14:19" ht="15.75" customHeight="1">
      <c r="N181" s="221"/>
      <c r="O181" s="226"/>
      <c r="P181" s="223"/>
      <c r="Q181" s="226"/>
      <c r="R181" s="227"/>
      <c r="S181" s="225"/>
    </row>
    <row r="182" spans="14:19" ht="15.75" customHeight="1">
      <c r="N182" s="221"/>
      <c r="O182" s="226"/>
      <c r="P182" s="223"/>
      <c r="Q182" s="226"/>
      <c r="R182" s="227"/>
      <c r="S182" s="225"/>
    </row>
    <row r="183" spans="14:19" ht="15.75" customHeight="1">
      <c r="N183" s="221"/>
      <c r="O183" s="226"/>
      <c r="P183" s="223"/>
      <c r="Q183" s="226"/>
      <c r="R183" s="227"/>
      <c r="S183" s="225"/>
    </row>
    <row r="184" spans="14:19" ht="15.75" customHeight="1">
      <c r="N184" s="221"/>
      <c r="O184" s="222"/>
      <c r="P184" s="223"/>
      <c r="Q184" s="222"/>
      <c r="R184" s="224"/>
      <c r="S184" s="225"/>
    </row>
    <row r="185" spans="14:19" ht="15.75" customHeight="1">
      <c r="N185" s="221"/>
      <c r="O185" s="226"/>
      <c r="P185" s="223"/>
      <c r="Q185" s="226"/>
      <c r="R185" s="227"/>
      <c r="S185" s="225"/>
    </row>
    <row r="186" spans="14:19" ht="15.75" customHeight="1">
      <c r="N186" s="221"/>
      <c r="O186" s="226"/>
      <c r="P186" s="223"/>
      <c r="Q186" s="226"/>
      <c r="R186" s="227"/>
      <c r="S186" s="225"/>
    </row>
    <row r="187" spans="14:19" ht="15.75" customHeight="1">
      <c r="N187" s="221"/>
      <c r="O187" s="222"/>
      <c r="P187" s="223"/>
      <c r="Q187" s="222"/>
      <c r="R187" s="224"/>
      <c r="S187" s="225"/>
    </row>
    <row r="188" spans="14:19" ht="15.75" customHeight="1">
      <c r="N188" s="221"/>
      <c r="O188" s="226"/>
      <c r="P188" s="223"/>
      <c r="Q188" s="226"/>
      <c r="R188" s="227"/>
      <c r="S188" s="225"/>
    </row>
    <row r="189" spans="14:19" ht="15.75" customHeight="1">
      <c r="N189" s="221"/>
      <c r="O189" s="226"/>
      <c r="P189" s="223"/>
      <c r="Q189" s="226"/>
      <c r="R189" s="227"/>
      <c r="S189" s="225"/>
    </row>
    <row r="190" spans="14:19" ht="15.75" customHeight="1">
      <c r="N190" s="221"/>
      <c r="O190" s="226"/>
      <c r="P190" s="223"/>
      <c r="Q190" s="226"/>
      <c r="R190" s="227"/>
      <c r="S190" s="225"/>
    </row>
    <row r="191" spans="14:19" ht="15.75" customHeight="1">
      <c r="N191" s="221"/>
      <c r="O191" s="226"/>
      <c r="P191" s="223"/>
      <c r="Q191" s="226"/>
      <c r="R191" s="227"/>
      <c r="S191" s="225"/>
    </row>
    <row r="192" spans="14:19" ht="15.75" customHeight="1">
      <c r="N192" s="221"/>
      <c r="O192" s="226"/>
      <c r="P192" s="223"/>
      <c r="Q192" s="226"/>
      <c r="R192" s="227"/>
      <c r="S192" s="225"/>
    </row>
    <row r="193" spans="14:19" ht="15.75" customHeight="1">
      <c r="N193" s="221"/>
      <c r="O193" s="226"/>
      <c r="P193" s="223"/>
      <c r="Q193" s="226"/>
      <c r="R193" s="227"/>
      <c r="S193" s="225"/>
    </row>
    <row r="194" spans="14:19" ht="15.75" customHeight="1">
      <c r="N194" s="221"/>
      <c r="O194" s="222"/>
      <c r="P194" s="223"/>
      <c r="Q194" s="222"/>
      <c r="R194" s="224"/>
      <c r="S194" s="225"/>
    </row>
    <row r="195" spans="14:19" ht="15.75" customHeight="1">
      <c r="N195" s="221"/>
      <c r="O195" s="226"/>
      <c r="P195" s="223"/>
      <c r="Q195" s="226"/>
      <c r="R195" s="227"/>
      <c r="S195" s="225"/>
    </row>
    <row r="196" spans="14:19" ht="15.75" customHeight="1">
      <c r="N196" s="221"/>
      <c r="O196" s="226"/>
      <c r="P196" s="223"/>
      <c r="Q196" s="226"/>
      <c r="R196" s="227"/>
      <c r="S196" s="225"/>
    </row>
    <row r="197" spans="14:19" ht="15.75" customHeight="1">
      <c r="N197" s="221"/>
      <c r="O197" s="226"/>
      <c r="P197" s="223"/>
      <c r="Q197" s="226"/>
      <c r="R197" s="227"/>
      <c r="S197" s="225"/>
    </row>
    <row r="198" spans="14:19" ht="15.75" customHeight="1">
      <c r="N198" s="221"/>
      <c r="O198" s="226"/>
      <c r="P198" s="223"/>
      <c r="Q198" s="226"/>
      <c r="R198" s="227"/>
      <c r="S198" s="225"/>
    </row>
    <row r="199" spans="14:19" ht="15.75" customHeight="1">
      <c r="N199" s="221"/>
      <c r="O199" s="226"/>
      <c r="P199" s="223"/>
      <c r="Q199" s="226"/>
      <c r="R199" s="227"/>
      <c r="S199" s="225"/>
    </row>
    <row r="200" spans="14:19" ht="15.75" customHeight="1">
      <c r="N200" s="221"/>
      <c r="O200" s="222"/>
      <c r="P200" s="223"/>
      <c r="Q200" s="222"/>
      <c r="R200" s="224"/>
      <c r="S200" s="225"/>
    </row>
    <row r="201" spans="14:19" ht="15.75" customHeight="1">
      <c r="N201" s="221"/>
      <c r="O201" s="226"/>
      <c r="P201" s="223"/>
      <c r="Q201" s="226"/>
      <c r="R201" s="227"/>
      <c r="S201" s="225"/>
    </row>
    <row r="202" spans="14:19" ht="15.75" customHeight="1">
      <c r="N202" s="221"/>
      <c r="O202" s="226"/>
      <c r="P202" s="223"/>
      <c r="Q202" s="226"/>
      <c r="R202" s="227"/>
      <c r="S202" s="225"/>
    </row>
    <row r="203" spans="14:19" ht="15.75" customHeight="1">
      <c r="N203" s="221"/>
      <c r="O203" s="226"/>
      <c r="P203" s="223"/>
      <c r="Q203" s="226"/>
      <c r="R203" s="227"/>
      <c r="S203" s="225"/>
    </row>
    <row r="204" spans="14:19" ht="15.75" customHeight="1">
      <c r="N204" s="221"/>
      <c r="O204" s="226"/>
      <c r="P204" s="223"/>
      <c r="Q204" s="226"/>
      <c r="R204" s="227"/>
      <c r="S204" s="225"/>
    </row>
    <row r="205" spans="14:19" ht="15.75" customHeight="1">
      <c r="N205" s="221"/>
      <c r="O205" s="226"/>
      <c r="P205" s="223"/>
      <c r="Q205" s="226"/>
      <c r="R205" s="227"/>
      <c r="S205" s="225"/>
    </row>
    <row r="206" spans="14:19" ht="15.75" customHeight="1">
      <c r="N206" s="221"/>
      <c r="O206" s="226"/>
      <c r="P206" s="223"/>
      <c r="Q206" s="226"/>
      <c r="R206" s="227"/>
      <c r="S206" s="225"/>
    </row>
    <row r="207" spans="14:19" ht="15.75" customHeight="1">
      <c r="N207" s="221"/>
      <c r="O207" s="226"/>
      <c r="P207" s="223"/>
      <c r="Q207" s="226"/>
      <c r="R207" s="227"/>
      <c r="S207" s="225"/>
    </row>
    <row r="208" spans="14:19" ht="15.75" customHeight="1">
      <c r="N208" s="221"/>
      <c r="O208" s="222"/>
      <c r="P208" s="223"/>
      <c r="Q208" s="222"/>
      <c r="R208" s="224"/>
      <c r="S208" s="225"/>
    </row>
    <row r="209" spans="14:19" ht="15.75" customHeight="1">
      <c r="N209" s="221"/>
      <c r="O209" s="226"/>
      <c r="P209" s="223"/>
      <c r="Q209" s="226"/>
      <c r="R209" s="227"/>
      <c r="S209" s="225"/>
    </row>
    <row r="210" spans="14:19" ht="15.75" customHeight="1">
      <c r="N210" s="221"/>
      <c r="O210" s="226"/>
      <c r="P210" s="223"/>
      <c r="Q210" s="226"/>
      <c r="R210" s="227"/>
      <c r="S210" s="225"/>
    </row>
    <row r="211" spans="14:19" ht="15.75" customHeight="1">
      <c r="N211" s="221"/>
      <c r="O211" s="226"/>
      <c r="P211" s="223"/>
      <c r="Q211" s="226"/>
      <c r="R211" s="227"/>
      <c r="S211" s="225"/>
    </row>
    <row r="212" spans="14:19" ht="15.75" customHeight="1">
      <c r="N212" s="221"/>
      <c r="O212" s="226"/>
      <c r="P212" s="223"/>
      <c r="Q212" s="226"/>
      <c r="R212" s="227"/>
      <c r="S212" s="225"/>
    </row>
    <row r="213" spans="14:19" ht="15.75" customHeight="1">
      <c r="N213" s="221"/>
      <c r="O213" s="226"/>
      <c r="P213" s="223"/>
      <c r="Q213" s="226"/>
      <c r="R213" s="227"/>
      <c r="S213" s="225"/>
    </row>
    <row r="214" spans="14:19" ht="15.75" customHeight="1">
      <c r="N214" s="221"/>
      <c r="O214" s="222"/>
      <c r="P214" s="223"/>
      <c r="Q214" s="222"/>
      <c r="R214" s="224"/>
      <c r="S214" s="225"/>
    </row>
    <row r="215" spans="14:19" ht="15.75" customHeight="1">
      <c r="N215" s="221"/>
      <c r="O215" s="226"/>
      <c r="P215" s="223"/>
      <c r="Q215" s="226"/>
      <c r="R215" s="227"/>
      <c r="S215" s="225"/>
    </row>
    <row r="216" spans="14:19" ht="15.75" customHeight="1">
      <c r="N216" s="221"/>
      <c r="O216" s="226"/>
      <c r="P216" s="223"/>
      <c r="Q216" s="226"/>
      <c r="R216" s="227"/>
      <c r="S216" s="225"/>
    </row>
    <row r="217" spans="14:19" ht="15.75" customHeight="1">
      <c r="N217" s="221"/>
      <c r="O217" s="226"/>
      <c r="P217" s="223"/>
      <c r="Q217" s="226"/>
      <c r="R217" s="227"/>
      <c r="S217" s="225"/>
    </row>
    <row r="218" spans="14:19" ht="15.75" customHeight="1">
      <c r="N218" s="221"/>
      <c r="O218" s="226"/>
      <c r="P218" s="223"/>
      <c r="Q218" s="226"/>
      <c r="R218" s="227"/>
      <c r="S218" s="225"/>
    </row>
    <row r="219" spans="14:19" ht="15.75" customHeight="1">
      <c r="N219" s="221"/>
      <c r="O219" s="226"/>
      <c r="P219" s="223"/>
      <c r="Q219" s="226"/>
      <c r="R219" s="227"/>
      <c r="S219" s="225"/>
    </row>
    <row r="220" spans="14:19" ht="15.75" customHeight="1">
      <c r="N220" s="221"/>
      <c r="O220" s="222"/>
      <c r="P220" s="223"/>
      <c r="Q220" s="222"/>
      <c r="R220" s="224"/>
      <c r="S220" s="225"/>
    </row>
    <row r="221" spans="14:19" ht="15.75" customHeight="1">
      <c r="N221" s="221"/>
      <c r="O221" s="226"/>
      <c r="P221" s="223"/>
      <c r="Q221" s="226"/>
      <c r="R221" s="227"/>
      <c r="S221" s="225"/>
    </row>
    <row r="222" spans="14:19" ht="15.75" customHeight="1">
      <c r="N222" s="221"/>
      <c r="O222" s="226"/>
      <c r="P222" s="223"/>
      <c r="Q222" s="226"/>
      <c r="R222" s="227"/>
      <c r="S222" s="225"/>
    </row>
    <row r="223" spans="14:19" ht="15.75" customHeight="1">
      <c r="N223" s="221"/>
      <c r="O223" s="226"/>
      <c r="P223" s="223"/>
      <c r="Q223" s="226"/>
      <c r="R223" s="227"/>
      <c r="S223" s="225"/>
    </row>
    <row r="224" spans="14:19" ht="15.75" customHeight="1">
      <c r="N224" s="221"/>
      <c r="O224" s="226"/>
      <c r="P224" s="223"/>
      <c r="Q224" s="226"/>
      <c r="R224" s="227"/>
      <c r="S224" s="225"/>
    </row>
    <row r="225" spans="14:19" ht="15.75" customHeight="1">
      <c r="N225" s="221"/>
      <c r="O225" s="226"/>
      <c r="P225" s="223"/>
      <c r="Q225" s="226"/>
      <c r="R225" s="227"/>
      <c r="S225" s="225"/>
    </row>
    <row r="226" spans="14:19" ht="15.75" customHeight="1">
      <c r="N226" s="221"/>
      <c r="O226" s="222"/>
      <c r="P226" s="223"/>
      <c r="Q226" s="222"/>
      <c r="R226" s="224"/>
      <c r="S226" s="225"/>
    </row>
    <row r="227" spans="14:19" ht="15.75" customHeight="1">
      <c r="N227" s="221"/>
      <c r="O227" s="226"/>
      <c r="P227" s="223"/>
      <c r="Q227" s="226"/>
      <c r="R227" s="227"/>
      <c r="S227" s="225"/>
    </row>
    <row r="228" spans="14:19" ht="15.75" customHeight="1">
      <c r="N228" s="221"/>
      <c r="O228" s="226"/>
      <c r="P228" s="223"/>
      <c r="Q228" s="226"/>
      <c r="R228" s="227"/>
      <c r="S228" s="225"/>
    </row>
    <row r="229" spans="14:19" ht="15.75" customHeight="1">
      <c r="N229" s="221"/>
      <c r="O229" s="222"/>
      <c r="P229" s="223"/>
      <c r="Q229" s="222"/>
      <c r="R229" s="224"/>
      <c r="S229" s="225"/>
    </row>
    <row r="230" spans="14:19" ht="15.75" customHeight="1">
      <c r="N230" s="221"/>
      <c r="O230" s="226"/>
      <c r="P230" s="223"/>
      <c r="Q230" s="226"/>
      <c r="R230" s="227"/>
      <c r="S230" s="225"/>
    </row>
    <row r="231" spans="14:19" ht="15.75" customHeight="1">
      <c r="N231" s="221"/>
      <c r="O231" s="226"/>
      <c r="P231" s="223"/>
      <c r="Q231" s="226"/>
      <c r="R231" s="227"/>
      <c r="S231" s="225"/>
    </row>
    <row r="232" spans="14:19" ht="15.75" customHeight="1">
      <c r="N232" s="221"/>
      <c r="O232" s="226"/>
      <c r="P232" s="223"/>
      <c r="Q232" s="226"/>
      <c r="R232" s="227"/>
      <c r="S232" s="225"/>
    </row>
    <row r="233" spans="14:19" ht="15.75" customHeight="1">
      <c r="N233" s="221"/>
      <c r="O233" s="226"/>
      <c r="P233" s="223"/>
      <c r="Q233" s="226"/>
      <c r="R233" s="227"/>
      <c r="S233" s="225"/>
    </row>
    <row r="234" spans="14:19" ht="15.75" customHeight="1">
      <c r="N234" s="221"/>
      <c r="O234" s="226"/>
      <c r="P234" s="223"/>
      <c r="Q234" s="226"/>
      <c r="R234" s="227"/>
      <c r="S234" s="225"/>
    </row>
    <row r="235" spans="14:19" ht="15.75" customHeight="1">
      <c r="N235" s="221"/>
      <c r="O235" s="226"/>
      <c r="P235" s="223"/>
      <c r="Q235" s="226"/>
      <c r="R235" s="227"/>
      <c r="S235" s="225"/>
    </row>
    <row r="236" spans="14:19" ht="15.75" customHeight="1">
      <c r="N236" s="221"/>
      <c r="O236" s="222"/>
      <c r="P236" s="223"/>
      <c r="Q236" s="222"/>
      <c r="R236" s="224"/>
      <c r="S236" s="225"/>
    </row>
    <row r="237" spans="14:19" ht="15.75" customHeight="1">
      <c r="N237" s="221"/>
      <c r="O237" s="226"/>
      <c r="P237" s="223"/>
      <c r="Q237" s="226"/>
      <c r="R237" s="227"/>
      <c r="S237" s="225"/>
    </row>
    <row r="238" spans="14:19" ht="15.75" customHeight="1">
      <c r="N238" s="221"/>
      <c r="O238" s="226"/>
      <c r="P238" s="223"/>
      <c r="Q238" s="226"/>
      <c r="R238" s="227"/>
      <c r="S238" s="225"/>
    </row>
    <row r="239" spans="14:19" ht="15.75" customHeight="1">
      <c r="N239" s="221"/>
      <c r="O239" s="226"/>
      <c r="P239" s="223"/>
      <c r="Q239" s="226"/>
      <c r="R239" s="227"/>
      <c r="S239" s="225"/>
    </row>
    <row r="240" spans="14:19" ht="15.75" customHeight="1">
      <c r="N240" s="221"/>
      <c r="O240" s="226"/>
      <c r="P240" s="223"/>
      <c r="Q240" s="226"/>
      <c r="R240" s="227"/>
      <c r="S240" s="225"/>
    </row>
    <row r="241" spans="14:19" ht="15.75" customHeight="1">
      <c r="N241" s="221"/>
      <c r="O241" s="226"/>
      <c r="P241" s="223"/>
      <c r="Q241" s="226"/>
      <c r="R241" s="227"/>
      <c r="S241" s="225"/>
    </row>
    <row r="242" spans="14:19" ht="15.75" customHeight="1">
      <c r="N242" s="221"/>
      <c r="O242" s="222"/>
      <c r="P242" s="223"/>
      <c r="Q242" s="222"/>
      <c r="R242" s="224"/>
      <c r="S242" s="225"/>
    </row>
    <row r="243" spans="14:19" ht="15.75" customHeight="1">
      <c r="N243" s="221"/>
      <c r="O243" s="226"/>
      <c r="P243" s="223"/>
      <c r="Q243" s="226"/>
      <c r="R243" s="227"/>
      <c r="S243" s="225"/>
    </row>
    <row r="244" spans="14:19" ht="15.75" customHeight="1">
      <c r="N244" s="221"/>
      <c r="O244" s="226"/>
      <c r="P244" s="223"/>
      <c r="Q244" s="226"/>
      <c r="R244" s="227"/>
      <c r="S244" s="225"/>
    </row>
    <row r="245" spans="14:19" ht="15.75" customHeight="1">
      <c r="N245" s="221"/>
      <c r="O245" s="226"/>
      <c r="P245" s="223"/>
      <c r="Q245" s="226"/>
      <c r="R245" s="227"/>
      <c r="S245" s="225"/>
    </row>
    <row r="246" spans="14:19" ht="15.75" customHeight="1">
      <c r="N246" s="221"/>
      <c r="O246" s="226"/>
      <c r="P246" s="223"/>
      <c r="Q246" s="226"/>
      <c r="R246" s="227"/>
      <c r="S246" s="225"/>
    </row>
    <row r="247" spans="14:19" ht="15.75" customHeight="1">
      <c r="N247" s="221"/>
      <c r="O247" s="226"/>
      <c r="P247" s="223"/>
      <c r="Q247" s="226"/>
      <c r="R247" s="227"/>
      <c r="S247" s="225"/>
    </row>
    <row r="248" spans="14:19" ht="15.75" customHeight="1">
      <c r="N248" s="221"/>
      <c r="O248" s="226"/>
      <c r="P248" s="223"/>
      <c r="Q248" s="226"/>
      <c r="R248" s="227"/>
      <c r="S248" s="225"/>
    </row>
    <row r="249" spans="14:19" ht="15.75" customHeight="1">
      <c r="N249" s="221"/>
      <c r="O249" s="226"/>
      <c r="P249" s="223"/>
      <c r="Q249" s="226"/>
      <c r="R249" s="227"/>
      <c r="S249" s="225"/>
    </row>
    <row r="250" spans="14:19" ht="15.75" customHeight="1">
      <c r="N250" s="221"/>
      <c r="O250" s="222"/>
      <c r="P250" s="223"/>
      <c r="Q250" s="222"/>
      <c r="R250" s="224"/>
      <c r="S250" s="225"/>
    </row>
    <row r="251" spans="14:19" ht="15.75" customHeight="1">
      <c r="N251" s="221"/>
      <c r="O251" s="226"/>
      <c r="P251" s="223"/>
      <c r="Q251" s="226"/>
      <c r="R251" s="227"/>
      <c r="S251" s="225"/>
    </row>
    <row r="252" spans="14:19" ht="15.75" customHeight="1">
      <c r="N252" s="221"/>
      <c r="O252" s="226"/>
      <c r="P252" s="223"/>
      <c r="Q252" s="226"/>
      <c r="R252" s="227"/>
      <c r="S252" s="225"/>
    </row>
    <row r="253" spans="14:19" ht="15.75" customHeight="1">
      <c r="N253" s="221"/>
      <c r="O253" s="226"/>
      <c r="P253" s="223"/>
      <c r="Q253" s="226"/>
      <c r="R253" s="227"/>
      <c r="S253" s="225"/>
    </row>
    <row r="254" spans="14:19" ht="15.75" customHeight="1">
      <c r="N254" s="221"/>
      <c r="O254" s="226"/>
      <c r="P254" s="223"/>
      <c r="Q254" s="226"/>
      <c r="R254" s="227"/>
      <c r="S254" s="225"/>
    </row>
    <row r="255" spans="14:19" ht="15.75" customHeight="1">
      <c r="N255" s="221"/>
      <c r="O255" s="226"/>
      <c r="P255" s="223"/>
      <c r="Q255" s="226"/>
      <c r="R255" s="227"/>
      <c r="S255" s="225"/>
    </row>
    <row r="256" spans="14:19" ht="15.75" customHeight="1">
      <c r="N256" s="221"/>
      <c r="O256" s="222"/>
      <c r="P256" s="223"/>
      <c r="Q256" s="222"/>
      <c r="R256" s="224"/>
      <c r="S256" s="225"/>
    </row>
    <row r="257" spans="14:19" ht="15.75" customHeight="1">
      <c r="N257" s="221"/>
      <c r="O257" s="226"/>
      <c r="P257" s="223"/>
      <c r="Q257" s="226"/>
      <c r="R257" s="227"/>
      <c r="S257" s="225"/>
    </row>
    <row r="258" spans="14:19" ht="15.75" customHeight="1">
      <c r="N258" s="221"/>
      <c r="O258" s="226"/>
      <c r="P258" s="223"/>
      <c r="Q258" s="226"/>
      <c r="R258" s="227"/>
      <c r="S258" s="225"/>
    </row>
    <row r="259" spans="14:19" ht="15.75" customHeight="1">
      <c r="N259" s="221"/>
      <c r="O259" s="226"/>
      <c r="P259" s="223"/>
      <c r="Q259" s="226"/>
      <c r="R259" s="227"/>
      <c r="S259" s="225"/>
    </row>
    <row r="260" spans="14:19" ht="15.75" customHeight="1">
      <c r="N260" s="221"/>
      <c r="O260" s="226"/>
      <c r="P260" s="223"/>
      <c r="Q260" s="226"/>
      <c r="R260" s="227"/>
      <c r="S260" s="225"/>
    </row>
    <row r="261" spans="14:19" ht="15.75" customHeight="1">
      <c r="N261" s="221"/>
      <c r="O261" s="226"/>
      <c r="P261" s="223"/>
      <c r="Q261" s="226"/>
      <c r="R261" s="227"/>
      <c r="S261" s="225"/>
    </row>
    <row r="262" spans="14:19" ht="15.75" customHeight="1">
      <c r="N262" s="221"/>
      <c r="O262" s="222"/>
      <c r="P262" s="223"/>
      <c r="Q262" s="222"/>
      <c r="R262" s="224"/>
      <c r="S262" s="225"/>
    </row>
    <row r="263" spans="14:19" ht="15.75" customHeight="1">
      <c r="N263" s="221"/>
      <c r="O263" s="226"/>
      <c r="P263" s="223"/>
      <c r="Q263" s="226"/>
      <c r="R263" s="227"/>
      <c r="S263" s="225"/>
    </row>
    <row r="264" spans="14:19" ht="15.75" customHeight="1">
      <c r="N264" s="221"/>
      <c r="O264" s="226"/>
      <c r="P264" s="223"/>
      <c r="Q264" s="226"/>
      <c r="R264" s="227"/>
      <c r="S264" s="225"/>
    </row>
    <row r="265" spans="14:19" ht="15.75" customHeight="1">
      <c r="N265" s="221"/>
      <c r="O265" s="226"/>
      <c r="P265" s="223"/>
      <c r="Q265" s="226"/>
      <c r="R265" s="227"/>
      <c r="S265" s="225"/>
    </row>
    <row r="266" spans="14:19" ht="15.75" customHeight="1">
      <c r="N266" s="221"/>
      <c r="O266" s="226"/>
      <c r="P266" s="223"/>
      <c r="Q266" s="226"/>
      <c r="R266" s="227"/>
      <c r="S266" s="225"/>
    </row>
    <row r="267" spans="14:19" ht="15.75" customHeight="1">
      <c r="N267" s="221"/>
      <c r="O267" s="226"/>
      <c r="P267" s="223"/>
      <c r="Q267" s="226"/>
      <c r="R267" s="227"/>
      <c r="S267" s="225"/>
    </row>
    <row r="268" spans="14:19" ht="15.75" customHeight="1">
      <c r="N268" s="221"/>
      <c r="O268" s="222"/>
      <c r="P268" s="223"/>
      <c r="Q268" s="222"/>
      <c r="R268" s="224"/>
      <c r="S268" s="225"/>
    </row>
    <row r="269" spans="14:19" ht="15.75" customHeight="1">
      <c r="N269" s="221"/>
      <c r="O269" s="226"/>
      <c r="P269" s="223"/>
      <c r="Q269" s="226"/>
      <c r="R269" s="227"/>
      <c r="S269" s="225"/>
    </row>
    <row r="270" spans="14:19" ht="15.75" customHeight="1">
      <c r="N270" s="221"/>
      <c r="O270" s="226"/>
      <c r="P270" s="223"/>
      <c r="Q270" s="226"/>
      <c r="R270" s="227"/>
      <c r="S270" s="225"/>
    </row>
    <row r="271" spans="14:19" ht="15.75" customHeight="1">
      <c r="N271" s="221"/>
      <c r="O271" s="222"/>
      <c r="P271" s="223"/>
      <c r="Q271" s="222"/>
      <c r="R271" s="224"/>
      <c r="S271" s="225"/>
    </row>
    <row r="272" spans="14:19" ht="15.75" customHeight="1">
      <c r="N272" s="221"/>
      <c r="O272" s="226"/>
      <c r="P272" s="223"/>
      <c r="Q272" s="226"/>
      <c r="R272" s="227"/>
      <c r="S272" s="225"/>
    </row>
    <row r="273" spans="14:19" ht="15.75" customHeight="1">
      <c r="N273" s="221"/>
      <c r="O273" s="226"/>
      <c r="P273" s="223"/>
      <c r="Q273" s="226"/>
      <c r="R273" s="227"/>
      <c r="S273" s="225"/>
    </row>
    <row r="274" spans="14:19" ht="15.75" customHeight="1">
      <c r="N274" s="221"/>
      <c r="O274" s="226"/>
      <c r="P274" s="223"/>
      <c r="Q274" s="226"/>
      <c r="R274" s="227"/>
      <c r="S274" s="225"/>
    </row>
    <row r="275" spans="14:19" ht="15.75" customHeight="1">
      <c r="N275" s="221"/>
      <c r="O275" s="226"/>
      <c r="P275" s="223"/>
      <c r="Q275" s="226"/>
      <c r="R275" s="227"/>
      <c r="S275" s="225"/>
    </row>
    <row r="276" spans="14:19" ht="15.75" customHeight="1">
      <c r="N276" s="221"/>
      <c r="O276" s="226"/>
      <c r="P276" s="223"/>
      <c r="Q276" s="226"/>
      <c r="R276" s="227"/>
      <c r="S276" s="225"/>
    </row>
    <row r="277" spans="14:19" ht="15.75" customHeight="1">
      <c r="N277" s="221"/>
      <c r="O277" s="226"/>
      <c r="P277" s="223"/>
      <c r="Q277" s="226"/>
      <c r="R277" s="227"/>
      <c r="S277" s="225"/>
    </row>
    <row r="278" spans="14:19" ht="15.75" customHeight="1">
      <c r="N278" s="221"/>
      <c r="O278" s="222"/>
      <c r="P278" s="223"/>
      <c r="Q278" s="222"/>
      <c r="R278" s="224"/>
      <c r="S278" s="225"/>
    </row>
    <row r="279" spans="14:19" ht="15.75" customHeight="1">
      <c r="N279" s="221"/>
      <c r="O279" s="226"/>
      <c r="P279" s="223"/>
      <c r="Q279" s="226"/>
      <c r="R279" s="227"/>
      <c r="S279" s="225"/>
    </row>
    <row r="280" spans="14:19" ht="15.75" customHeight="1">
      <c r="N280" s="221"/>
      <c r="O280" s="226"/>
      <c r="P280" s="223"/>
      <c r="Q280" s="226"/>
      <c r="R280" s="227"/>
      <c r="S280" s="225"/>
    </row>
    <row r="281" spans="14:19" ht="15.75" customHeight="1">
      <c r="N281" s="221"/>
      <c r="O281" s="226"/>
      <c r="P281" s="223"/>
      <c r="Q281" s="226"/>
      <c r="R281" s="227"/>
      <c r="S281" s="225"/>
    </row>
    <row r="282" spans="14:19" ht="15.75" customHeight="1">
      <c r="N282" s="221"/>
      <c r="O282" s="226"/>
      <c r="P282" s="223"/>
      <c r="Q282" s="226"/>
      <c r="R282" s="227"/>
      <c r="S282" s="225"/>
    </row>
    <row r="283" spans="14:19" ht="15.75" customHeight="1">
      <c r="N283" s="221"/>
      <c r="O283" s="226"/>
      <c r="P283" s="223"/>
      <c r="Q283" s="226"/>
      <c r="R283" s="227"/>
      <c r="S283" s="225"/>
    </row>
    <row r="284" spans="14:19" ht="15.75" customHeight="1">
      <c r="N284" s="221"/>
      <c r="O284" s="222"/>
      <c r="P284" s="223"/>
      <c r="Q284" s="222"/>
      <c r="R284" s="224"/>
      <c r="S284" s="225"/>
    </row>
    <row r="285" spans="14:19" ht="15.75" customHeight="1">
      <c r="N285" s="221"/>
      <c r="O285" s="226"/>
      <c r="P285" s="223"/>
      <c r="Q285" s="226"/>
      <c r="R285" s="227"/>
      <c r="S285" s="225"/>
    </row>
    <row r="286" spans="14:19" ht="15.75" customHeight="1">
      <c r="N286" s="221"/>
      <c r="O286" s="226"/>
      <c r="P286" s="223"/>
      <c r="Q286" s="226"/>
      <c r="R286" s="227"/>
      <c r="S286" s="225"/>
    </row>
    <row r="287" spans="14:19" ht="15.75" customHeight="1">
      <c r="N287" s="221"/>
      <c r="O287" s="226"/>
      <c r="P287" s="223"/>
      <c r="Q287" s="226"/>
      <c r="R287" s="227"/>
      <c r="S287" s="225"/>
    </row>
    <row r="288" spans="14:19" ht="15.75" customHeight="1">
      <c r="N288" s="221"/>
      <c r="O288" s="226"/>
      <c r="P288" s="223"/>
      <c r="Q288" s="226"/>
      <c r="R288" s="227"/>
      <c r="S288" s="225"/>
    </row>
    <row r="289" spans="14:19" ht="15.75" customHeight="1">
      <c r="N289" s="221"/>
      <c r="O289" s="226"/>
      <c r="P289" s="223"/>
      <c r="Q289" s="226"/>
      <c r="R289" s="227"/>
      <c r="S289" s="225"/>
    </row>
    <row r="290" spans="14:19" ht="15.75" customHeight="1">
      <c r="N290" s="221"/>
      <c r="O290" s="226"/>
      <c r="P290" s="223"/>
      <c r="Q290" s="226"/>
      <c r="R290" s="227"/>
      <c r="S290" s="225"/>
    </row>
    <row r="291" spans="14:19" ht="15.75" customHeight="1">
      <c r="N291" s="221"/>
      <c r="O291" s="226"/>
      <c r="P291" s="223"/>
      <c r="Q291" s="226"/>
      <c r="R291" s="227"/>
      <c r="S291" s="225"/>
    </row>
    <row r="292" spans="14:19" ht="15.75" customHeight="1">
      <c r="N292" s="221"/>
      <c r="O292" s="222"/>
      <c r="P292" s="223"/>
      <c r="Q292" s="222"/>
      <c r="R292" s="224"/>
      <c r="S292" s="225"/>
    </row>
    <row r="293" spans="14:19" ht="15.75" customHeight="1">
      <c r="N293" s="221"/>
      <c r="O293" s="226"/>
      <c r="P293" s="223"/>
      <c r="Q293" s="226"/>
      <c r="R293" s="227"/>
      <c r="S293" s="225"/>
    </row>
    <row r="294" spans="14:19" ht="15.75" customHeight="1">
      <c r="N294" s="221"/>
      <c r="O294" s="226"/>
      <c r="P294" s="223"/>
      <c r="Q294" s="226"/>
      <c r="R294" s="227"/>
      <c r="S294" s="225"/>
    </row>
    <row r="295" spans="14:19" ht="15.75" customHeight="1">
      <c r="N295" s="221"/>
      <c r="O295" s="226"/>
      <c r="P295" s="223"/>
      <c r="Q295" s="226"/>
      <c r="R295" s="227"/>
      <c r="S295" s="225"/>
    </row>
    <row r="296" spans="14:19" ht="15.75" customHeight="1">
      <c r="N296" s="221"/>
      <c r="O296" s="226"/>
      <c r="P296" s="223"/>
      <c r="Q296" s="226"/>
      <c r="R296" s="227"/>
      <c r="S296" s="225"/>
    </row>
    <row r="297" spans="14:19" ht="15.75" customHeight="1">
      <c r="N297" s="221"/>
      <c r="O297" s="226"/>
      <c r="P297" s="223"/>
      <c r="Q297" s="226"/>
      <c r="R297" s="227"/>
      <c r="S297" s="225"/>
    </row>
    <row r="298" spans="14:19" ht="15.75" customHeight="1">
      <c r="N298" s="221"/>
      <c r="O298" s="222"/>
      <c r="P298" s="223"/>
      <c r="Q298" s="222"/>
      <c r="R298" s="224"/>
      <c r="S298" s="225"/>
    </row>
    <row r="299" spans="14:19" ht="15.75" customHeight="1">
      <c r="N299" s="221"/>
      <c r="O299" s="226"/>
      <c r="P299" s="223"/>
      <c r="Q299" s="226"/>
      <c r="R299" s="227"/>
      <c r="S299" s="225"/>
    </row>
    <row r="300" spans="14:19" ht="15.75" customHeight="1">
      <c r="N300" s="221"/>
      <c r="O300" s="226"/>
      <c r="P300" s="223"/>
      <c r="Q300" s="226"/>
      <c r="R300" s="227"/>
      <c r="S300" s="225"/>
    </row>
    <row r="301" spans="14:19" ht="15.75" customHeight="1">
      <c r="N301" s="221"/>
      <c r="O301" s="226"/>
      <c r="P301" s="223"/>
      <c r="Q301" s="226"/>
      <c r="R301" s="227"/>
      <c r="S301" s="225"/>
    </row>
    <row r="302" spans="14:19" ht="15.75" customHeight="1">
      <c r="N302" s="221"/>
      <c r="O302" s="226"/>
      <c r="P302" s="223"/>
      <c r="Q302" s="226"/>
      <c r="R302" s="227"/>
      <c r="S302" s="225"/>
    </row>
    <row r="303" spans="14:19" ht="15.75" customHeight="1">
      <c r="N303" s="221"/>
      <c r="O303" s="226"/>
      <c r="P303" s="223"/>
      <c r="Q303" s="226"/>
      <c r="R303" s="227"/>
      <c r="S303" s="225"/>
    </row>
    <row r="304" spans="14:19" ht="15.75" customHeight="1">
      <c r="N304" s="221"/>
      <c r="O304" s="222"/>
      <c r="P304" s="223"/>
      <c r="Q304" s="222"/>
      <c r="R304" s="224"/>
      <c r="S304" s="225"/>
    </row>
    <row r="305" spans="14:19" ht="15.75" customHeight="1">
      <c r="N305" s="221"/>
      <c r="O305" s="226"/>
      <c r="P305" s="223"/>
      <c r="Q305" s="226"/>
      <c r="R305" s="227"/>
      <c r="S305" s="225"/>
    </row>
    <row r="306" spans="14:19" ht="15.75" customHeight="1">
      <c r="N306" s="221"/>
      <c r="O306" s="226"/>
      <c r="P306" s="223"/>
      <c r="Q306" s="226"/>
      <c r="R306" s="227"/>
      <c r="S306" s="225"/>
    </row>
    <row r="307" spans="14:19" ht="15.75" customHeight="1">
      <c r="N307" s="221"/>
      <c r="O307" s="226"/>
      <c r="P307" s="223"/>
      <c r="Q307" s="226"/>
      <c r="R307" s="227"/>
      <c r="S307" s="225"/>
    </row>
    <row r="308" spans="14:19" ht="15.75" customHeight="1">
      <c r="N308" s="221"/>
      <c r="O308" s="226"/>
      <c r="P308" s="223"/>
      <c r="Q308" s="226"/>
      <c r="R308" s="227"/>
      <c r="S308" s="225"/>
    </row>
    <row r="309" spans="14:19" ht="15.75" customHeight="1">
      <c r="N309" s="221"/>
      <c r="O309" s="226"/>
      <c r="P309" s="223"/>
      <c r="Q309" s="226"/>
      <c r="R309" s="227"/>
      <c r="S309" s="225"/>
    </row>
    <row r="310" spans="14:19" ht="15.75" customHeight="1">
      <c r="N310" s="221"/>
      <c r="O310" s="222"/>
      <c r="P310" s="223"/>
      <c r="Q310" s="222"/>
      <c r="R310" s="224"/>
      <c r="S310" s="225"/>
    </row>
    <row r="311" spans="14:19" ht="15.75" customHeight="1">
      <c r="N311" s="221"/>
      <c r="O311" s="226"/>
      <c r="P311" s="223"/>
      <c r="Q311" s="226"/>
      <c r="R311" s="227"/>
      <c r="S311" s="225"/>
    </row>
    <row r="312" spans="14:19" ht="15.75" customHeight="1">
      <c r="N312" s="221"/>
      <c r="O312" s="226"/>
      <c r="P312" s="223"/>
      <c r="Q312" s="226"/>
      <c r="R312" s="227"/>
      <c r="S312" s="225"/>
    </row>
    <row r="313" spans="14:19" ht="15.75" customHeight="1">
      <c r="N313" s="221"/>
      <c r="O313" s="222"/>
      <c r="P313" s="223"/>
      <c r="Q313" s="222"/>
      <c r="R313" s="224"/>
      <c r="S313" s="225"/>
    </row>
    <row r="314" spans="14:19" ht="15.75" customHeight="1">
      <c r="N314" s="221"/>
      <c r="O314" s="226"/>
      <c r="P314" s="223"/>
      <c r="Q314" s="226"/>
      <c r="R314" s="227"/>
      <c r="S314" s="225"/>
    </row>
    <row r="315" spans="14:19" ht="15.75" customHeight="1">
      <c r="N315" s="221"/>
      <c r="O315" s="226"/>
      <c r="P315" s="223"/>
      <c r="Q315" s="226"/>
      <c r="R315" s="227"/>
      <c r="S315" s="225"/>
    </row>
    <row r="316" spans="14:19" ht="15.75" customHeight="1">
      <c r="N316" s="221"/>
      <c r="O316" s="226"/>
      <c r="P316" s="223"/>
      <c r="Q316" s="226"/>
      <c r="R316" s="227"/>
      <c r="S316" s="225"/>
    </row>
    <row r="317" spans="14:19" ht="15.75" customHeight="1">
      <c r="N317" s="221"/>
      <c r="O317" s="226"/>
      <c r="P317" s="223"/>
      <c r="Q317" s="226"/>
      <c r="R317" s="227"/>
      <c r="S317" s="225"/>
    </row>
    <row r="318" spans="14:19" ht="15.75" customHeight="1">
      <c r="N318" s="221"/>
      <c r="O318" s="226"/>
      <c r="P318" s="223"/>
      <c r="Q318" s="226"/>
      <c r="R318" s="227"/>
      <c r="S318" s="225"/>
    </row>
    <row r="319" spans="14:19" ht="15.75" customHeight="1">
      <c r="N319" s="221"/>
      <c r="O319" s="226"/>
      <c r="P319" s="223"/>
      <c r="Q319" s="226"/>
      <c r="R319" s="227"/>
      <c r="S319" s="225"/>
    </row>
    <row r="320" spans="14:19" ht="15.75" customHeight="1">
      <c r="N320" s="221"/>
      <c r="O320" s="222"/>
      <c r="P320" s="223"/>
      <c r="Q320" s="222"/>
      <c r="R320" s="224"/>
      <c r="S320" s="225"/>
    </row>
    <row r="321" spans="14:19" ht="15.75" customHeight="1">
      <c r="N321" s="221"/>
      <c r="O321" s="226"/>
      <c r="P321" s="223"/>
      <c r="Q321" s="226"/>
      <c r="R321" s="227"/>
      <c r="S321" s="225"/>
    </row>
    <row r="322" spans="14:19" ht="15.75" customHeight="1">
      <c r="N322" s="221"/>
      <c r="O322" s="226"/>
      <c r="P322" s="223"/>
      <c r="Q322" s="226"/>
      <c r="R322" s="227"/>
      <c r="S322" s="225"/>
    </row>
    <row r="323" spans="14:19" ht="15.75" customHeight="1">
      <c r="N323" s="221"/>
      <c r="O323" s="226"/>
      <c r="P323" s="223"/>
      <c r="Q323" s="226"/>
      <c r="R323" s="227"/>
      <c r="S323" s="225"/>
    </row>
    <row r="324" spans="14:19" ht="15.75" customHeight="1">
      <c r="N324" s="221"/>
      <c r="O324" s="222"/>
      <c r="P324" s="223"/>
      <c r="Q324" s="222"/>
      <c r="R324" s="224"/>
      <c r="S324" s="225"/>
    </row>
    <row r="325" spans="14:19" ht="15.75" customHeight="1">
      <c r="N325" s="221"/>
      <c r="O325" s="226"/>
      <c r="P325" s="223"/>
      <c r="Q325" s="226"/>
      <c r="R325" s="227"/>
      <c r="S325" s="225"/>
    </row>
    <row r="326" spans="14:19" ht="15.75" customHeight="1">
      <c r="N326" s="221"/>
      <c r="O326" s="226"/>
      <c r="P326" s="223"/>
      <c r="Q326" s="226"/>
      <c r="R326" s="227"/>
      <c r="S326" s="225"/>
    </row>
    <row r="327" spans="14:19" ht="15.75" customHeight="1">
      <c r="N327" s="221"/>
      <c r="O327" s="226"/>
      <c r="P327" s="223"/>
      <c r="Q327" s="226"/>
      <c r="R327" s="227"/>
      <c r="S327" s="225"/>
    </row>
    <row r="328" spans="14:19" ht="15.75" customHeight="1">
      <c r="N328" s="221"/>
      <c r="O328" s="226"/>
      <c r="P328" s="223"/>
      <c r="Q328" s="226"/>
      <c r="R328" s="227"/>
      <c r="S328" s="225"/>
    </row>
    <row r="329" spans="14:19" ht="15.75" customHeight="1">
      <c r="N329" s="221"/>
      <c r="O329" s="226"/>
      <c r="P329" s="223"/>
      <c r="Q329" s="226"/>
      <c r="R329" s="227"/>
      <c r="S329" s="225"/>
    </row>
    <row r="330" spans="14:19" ht="15.75" customHeight="1">
      <c r="N330" s="221"/>
      <c r="O330" s="226"/>
      <c r="P330" s="223"/>
      <c r="Q330" s="226"/>
      <c r="R330" s="227"/>
      <c r="S330" s="225"/>
    </row>
    <row r="331" spans="14:19" ht="15.75" customHeight="1">
      <c r="N331" s="221"/>
      <c r="O331" s="222"/>
      <c r="P331" s="223"/>
      <c r="Q331" s="222"/>
      <c r="R331" s="224"/>
      <c r="S331" s="225"/>
    </row>
    <row r="332" spans="14:19" ht="15.75" customHeight="1">
      <c r="N332" s="221"/>
      <c r="O332" s="226"/>
      <c r="P332" s="223"/>
      <c r="Q332" s="226"/>
      <c r="R332" s="227"/>
      <c r="S332" s="225"/>
    </row>
    <row r="333" spans="14:19" ht="15.75" customHeight="1">
      <c r="N333" s="221"/>
      <c r="O333" s="226"/>
      <c r="P333" s="223"/>
      <c r="Q333" s="226"/>
      <c r="R333" s="227"/>
      <c r="S333" s="225"/>
    </row>
    <row r="334" spans="14:19" ht="15.75" customHeight="1">
      <c r="N334" s="221"/>
      <c r="O334" s="226"/>
      <c r="P334" s="223"/>
      <c r="Q334" s="226"/>
      <c r="R334" s="227"/>
      <c r="S334" s="225"/>
    </row>
    <row r="335" spans="14:19" ht="15.75" customHeight="1">
      <c r="N335" s="221"/>
      <c r="O335" s="226"/>
      <c r="P335" s="223"/>
      <c r="Q335" s="226"/>
      <c r="R335" s="227"/>
      <c r="S335" s="225"/>
    </row>
    <row r="336" spans="14:19" ht="15.75" customHeight="1">
      <c r="N336" s="221"/>
      <c r="O336" s="226"/>
      <c r="P336" s="223"/>
      <c r="Q336" s="226"/>
      <c r="R336" s="227"/>
      <c r="S336" s="225"/>
    </row>
    <row r="337" spans="14:19" ht="15.75" customHeight="1">
      <c r="N337" s="221"/>
      <c r="O337" s="222"/>
      <c r="P337" s="223"/>
      <c r="Q337" s="222"/>
      <c r="R337" s="224"/>
      <c r="S337" s="225"/>
    </row>
    <row r="338" spans="14:19" ht="15.75" customHeight="1">
      <c r="N338" s="221"/>
      <c r="O338" s="226"/>
      <c r="P338" s="223"/>
      <c r="Q338" s="226"/>
      <c r="R338" s="227"/>
      <c r="S338" s="225"/>
    </row>
    <row r="339" spans="14:19" ht="15.75" customHeight="1">
      <c r="N339" s="221"/>
      <c r="O339" s="226"/>
      <c r="P339" s="223"/>
      <c r="Q339" s="226"/>
      <c r="R339" s="227"/>
      <c r="S339" s="225"/>
    </row>
    <row r="340" spans="14:19" ht="15.75" customHeight="1">
      <c r="N340" s="221"/>
      <c r="O340" s="226"/>
      <c r="P340" s="223"/>
      <c r="Q340" s="226"/>
      <c r="R340" s="227"/>
      <c r="S340" s="225"/>
    </row>
    <row r="341" spans="14:19" ht="15.75" customHeight="1">
      <c r="N341" s="221"/>
      <c r="O341" s="226"/>
      <c r="P341" s="223"/>
      <c r="Q341" s="226"/>
      <c r="R341" s="227"/>
      <c r="S341" s="225"/>
    </row>
    <row r="342" spans="14:19" ht="15.75" customHeight="1">
      <c r="N342" s="221"/>
      <c r="O342" s="226"/>
      <c r="P342" s="223"/>
      <c r="Q342" s="226"/>
      <c r="R342" s="227"/>
      <c r="S342" s="225"/>
    </row>
    <row r="343" spans="14:19" ht="15.75" customHeight="1">
      <c r="N343" s="221"/>
      <c r="O343" s="226"/>
      <c r="P343" s="223"/>
      <c r="Q343" s="226"/>
      <c r="R343" s="227"/>
      <c r="S343" s="225"/>
    </row>
    <row r="344" spans="14:19" ht="15.75" customHeight="1">
      <c r="N344" s="221"/>
      <c r="O344" s="226"/>
      <c r="P344" s="223"/>
      <c r="Q344" s="226"/>
      <c r="R344" s="227"/>
      <c r="S344" s="225"/>
    </row>
    <row r="345" spans="14:19" ht="15.75" customHeight="1">
      <c r="N345" s="221"/>
      <c r="O345" s="222"/>
      <c r="P345" s="223"/>
      <c r="Q345" s="222"/>
      <c r="R345" s="224"/>
      <c r="S345" s="225"/>
    </row>
    <row r="346" spans="14:19" ht="15.75" customHeight="1">
      <c r="N346" s="221"/>
      <c r="O346" s="226"/>
      <c r="P346" s="223"/>
      <c r="Q346" s="226"/>
      <c r="R346" s="227"/>
      <c r="S346" s="225"/>
    </row>
    <row r="347" spans="14:19" ht="15.75" customHeight="1">
      <c r="N347" s="221"/>
      <c r="O347" s="226"/>
      <c r="P347" s="223"/>
      <c r="Q347" s="226"/>
      <c r="R347" s="227"/>
      <c r="S347" s="225"/>
    </row>
    <row r="348" spans="14:19" ht="15.75" customHeight="1">
      <c r="N348" s="221"/>
      <c r="O348" s="226"/>
      <c r="P348" s="223"/>
      <c r="Q348" s="226"/>
      <c r="R348" s="227"/>
      <c r="S348" s="225"/>
    </row>
    <row r="349" spans="14:19" ht="15.75" customHeight="1">
      <c r="N349" s="221"/>
      <c r="O349" s="226"/>
      <c r="P349" s="223"/>
      <c r="Q349" s="226"/>
      <c r="R349" s="227"/>
      <c r="S349" s="225"/>
    </row>
    <row r="350" spans="14:19" ht="15.75" customHeight="1">
      <c r="N350" s="221"/>
      <c r="O350" s="226"/>
      <c r="P350" s="223"/>
      <c r="Q350" s="226"/>
      <c r="R350" s="227"/>
      <c r="S350" s="225"/>
    </row>
    <row r="351" spans="14:19" ht="15.75" customHeight="1">
      <c r="N351" s="221"/>
      <c r="O351" s="222"/>
      <c r="P351" s="223"/>
      <c r="Q351" s="222"/>
      <c r="R351" s="224"/>
      <c r="S351" s="225"/>
    </row>
    <row r="352" spans="14:19" ht="15.75" customHeight="1">
      <c r="N352" s="221"/>
      <c r="O352" s="226"/>
      <c r="P352" s="223"/>
      <c r="Q352" s="226"/>
      <c r="R352" s="227"/>
      <c r="S352" s="225"/>
    </row>
    <row r="353" spans="14:19" ht="15.75" customHeight="1">
      <c r="N353" s="221"/>
      <c r="O353" s="226"/>
      <c r="P353" s="223"/>
      <c r="Q353" s="226"/>
      <c r="R353" s="227"/>
      <c r="S353" s="225"/>
    </row>
    <row r="354" spans="14:19" ht="15.75" customHeight="1">
      <c r="N354" s="221"/>
      <c r="O354" s="226"/>
      <c r="P354" s="223"/>
      <c r="Q354" s="226"/>
      <c r="R354" s="227"/>
      <c r="S354" s="225"/>
    </row>
    <row r="355" spans="14:19" ht="15.75" customHeight="1">
      <c r="N355" s="221"/>
      <c r="O355" s="226"/>
      <c r="P355" s="223"/>
      <c r="Q355" s="226"/>
      <c r="R355" s="227"/>
      <c r="S355" s="225"/>
    </row>
    <row r="356" spans="14:19" ht="15.75" customHeight="1">
      <c r="N356" s="221"/>
      <c r="O356" s="226"/>
      <c r="P356" s="223"/>
      <c r="Q356" s="226"/>
      <c r="R356" s="227"/>
      <c r="S356" s="225"/>
    </row>
    <row r="357" spans="14:19" ht="15.75" customHeight="1">
      <c r="N357" s="221"/>
      <c r="O357" s="222"/>
      <c r="P357" s="223"/>
      <c r="Q357" s="222"/>
      <c r="R357" s="224"/>
      <c r="S357" s="225"/>
    </row>
    <row r="358" spans="14:19" ht="15.75" customHeight="1">
      <c r="N358" s="221"/>
      <c r="O358" s="226"/>
      <c r="P358" s="223"/>
      <c r="Q358" s="226"/>
      <c r="R358" s="227"/>
      <c r="S358" s="225"/>
    </row>
    <row r="359" spans="14:19" ht="15.75" customHeight="1">
      <c r="N359" s="221"/>
      <c r="O359" s="226"/>
      <c r="P359" s="223"/>
      <c r="Q359" s="226"/>
      <c r="R359" s="227"/>
      <c r="S359" s="225"/>
    </row>
    <row r="360" spans="14:19" ht="15.75" customHeight="1">
      <c r="N360" s="221"/>
      <c r="O360" s="226"/>
      <c r="P360" s="223"/>
      <c r="Q360" s="226"/>
      <c r="R360" s="227"/>
      <c r="S360" s="225"/>
    </row>
    <row r="361" spans="14:19" ht="15.75" customHeight="1">
      <c r="N361" s="221"/>
      <c r="O361" s="226"/>
      <c r="P361" s="223"/>
      <c r="Q361" s="226"/>
      <c r="R361" s="227"/>
      <c r="S361" s="225"/>
    </row>
    <row r="362" spans="14:19" ht="15.75" customHeight="1">
      <c r="N362" s="221"/>
      <c r="O362" s="226"/>
      <c r="P362" s="223"/>
      <c r="Q362" s="226"/>
      <c r="R362" s="227"/>
      <c r="S362" s="225"/>
    </row>
    <row r="363" spans="14:19" ht="15.75" customHeight="1">
      <c r="N363" s="221"/>
      <c r="O363" s="222"/>
      <c r="P363" s="223"/>
      <c r="Q363" s="222"/>
      <c r="R363" s="224"/>
      <c r="S363" s="225"/>
    </row>
    <row r="364" spans="14:19" ht="15.75" customHeight="1">
      <c r="N364" s="221"/>
      <c r="O364" s="226"/>
      <c r="P364" s="223"/>
      <c r="Q364" s="226"/>
      <c r="R364" s="227"/>
      <c r="S364" s="225"/>
    </row>
    <row r="365" spans="14:19" ht="15.75" customHeight="1">
      <c r="N365" s="221"/>
      <c r="O365" s="226"/>
      <c r="P365" s="223"/>
      <c r="Q365" s="226"/>
      <c r="R365" s="227"/>
      <c r="S365" s="225"/>
    </row>
    <row r="366" spans="14:19" ht="15.75" customHeight="1">
      <c r="N366" s="221"/>
      <c r="O366" s="222"/>
      <c r="P366" s="223"/>
      <c r="Q366" s="222"/>
      <c r="R366" s="224"/>
      <c r="S366" s="225"/>
    </row>
    <row r="367" spans="14:19" ht="15.75" customHeight="1">
      <c r="N367" s="221"/>
      <c r="O367" s="226"/>
      <c r="P367" s="223"/>
      <c r="Q367" s="226"/>
      <c r="R367" s="227"/>
      <c r="S367" s="225"/>
    </row>
    <row r="368" spans="14:19" ht="15.75" customHeight="1">
      <c r="N368" s="221"/>
      <c r="O368" s="226"/>
      <c r="P368" s="223"/>
      <c r="Q368" s="226"/>
      <c r="R368" s="227"/>
      <c r="S368" s="225"/>
    </row>
    <row r="369" spans="14:19" ht="15.75" customHeight="1">
      <c r="N369" s="221"/>
      <c r="O369" s="226"/>
      <c r="P369" s="223"/>
      <c r="Q369" s="226"/>
      <c r="R369" s="227"/>
      <c r="S369" s="225"/>
    </row>
    <row r="370" spans="14:19" ht="15.75" customHeight="1">
      <c r="N370" s="221"/>
      <c r="O370" s="226"/>
      <c r="P370" s="223"/>
      <c r="Q370" s="226"/>
      <c r="R370" s="227"/>
      <c r="S370" s="225"/>
    </row>
    <row r="371" spans="14:19" ht="15.75" customHeight="1">
      <c r="N371" s="221"/>
      <c r="O371" s="226"/>
      <c r="P371" s="223"/>
      <c r="Q371" s="226"/>
      <c r="R371" s="227"/>
      <c r="S371" s="225"/>
    </row>
    <row r="372" spans="14:19" ht="15.75" customHeight="1">
      <c r="N372" s="221"/>
      <c r="O372" s="226"/>
      <c r="P372" s="223"/>
      <c r="Q372" s="226"/>
      <c r="R372" s="227"/>
      <c r="S372" s="225"/>
    </row>
    <row r="373" spans="14:19" ht="15.75" customHeight="1">
      <c r="N373" s="221"/>
      <c r="O373" s="222"/>
      <c r="P373" s="223"/>
      <c r="Q373" s="222"/>
      <c r="R373" s="224"/>
      <c r="S373" s="225"/>
    </row>
    <row r="374" spans="14:19" ht="15.75" customHeight="1">
      <c r="N374" s="221"/>
      <c r="O374" s="226"/>
      <c r="P374" s="223"/>
      <c r="Q374" s="226"/>
      <c r="R374" s="227"/>
      <c r="S374" s="225"/>
    </row>
    <row r="375" spans="14:19" ht="15.75" customHeight="1">
      <c r="N375" s="221"/>
      <c r="O375" s="226"/>
      <c r="P375" s="223"/>
      <c r="Q375" s="226"/>
      <c r="R375" s="227"/>
      <c r="S375" s="225"/>
    </row>
    <row r="376" spans="14:19" ht="15.75" customHeight="1">
      <c r="N376" s="221"/>
      <c r="O376" s="226"/>
      <c r="P376" s="223"/>
      <c r="Q376" s="226"/>
      <c r="R376" s="227"/>
      <c r="S376" s="225"/>
    </row>
    <row r="377" spans="14:19" ht="15.75" customHeight="1">
      <c r="N377" s="221"/>
      <c r="O377" s="226"/>
      <c r="P377" s="223"/>
      <c r="Q377" s="226"/>
      <c r="R377" s="227"/>
      <c r="S377" s="225"/>
    </row>
    <row r="378" spans="14:19" ht="15.75" customHeight="1">
      <c r="N378" s="221"/>
      <c r="O378" s="226"/>
      <c r="P378" s="223"/>
      <c r="Q378" s="226"/>
      <c r="R378" s="227"/>
      <c r="S378" s="225"/>
    </row>
    <row r="379" spans="14:19" ht="15.75" customHeight="1">
      <c r="N379" s="221"/>
      <c r="O379" s="222"/>
      <c r="P379" s="223"/>
      <c r="Q379" s="222"/>
      <c r="R379" s="224"/>
      <c r="S379" s="225"/>
    </row>
    <row r="380" spans="14:19" ht="15.75" customHeight="1">
      <c r="N380" s="221"/>
      <c r="O380" s="226"/>
      <c r="P380" s="223"/>
      <c r="Q380" s="226"/>
      <c r="R380" s="227"/>
      <c r="S380" s="225"/>
    </row>
    <row r="381" spans="14:19" ht="15.75" customHeight="1">
      <c r="N381" s="221"/>
      <c r="O381" s="226"/>
      <c r="P381" s="223"/>
      <c r="Q381" s="226"/>
      <c r="R381" s="227"/>
      <c r="S381" s="225"/>
    </row>
    <row r="382" spans="14:19" ht="15.75" customHeight="1">
      <c r="N382" s="221"/>
      <c r="O382" s="226"/>
      <c r="P382" s="223"/>
      <c r="Q382" s="226"/>
      <c r="R382" s="227"/>
      <c r="S382" s="225"/>
    </row>
    <row r="383" spans="14:19" ht="15.75" customHeight="1">
      <c r="N383" s="221"/>
      <c r="O383" s="226"/>
      <c r="P383" s="223"/>
      <c r="Q383" s="226"/>
      <c r="R383" s="227"/>
      <c r="S383" s="225"/>
    </row>
    <row r="384" spans="14:19" ht="15.75" customHeight="1">
      <c r="N384" s="221"/>
      <c r="O384" s="226"/>
      <c r="P384" s="223"/>
      <c r="Q384" s="226"/>
      <c r="R384" s="227"/>
      <c r="S384" s="225"/>
    </row>
    <row r="385" spans="14:19" ht="15.75" customHeight="1">
      <c r="N385" s="221"/>
      <c r="O385" s="226"/>
      <c r="P385" s="223"/>
      <c r="Q385" s="226"/>
      <c r="R385" s="227"/>
      <c r="S385" s="225"/>
    </row>
    <row r="386" spans="14:19" ht="15.75" customHeight="1">
      <c r="N386" s="221"/>
      <c r="O386" s="226"/>
      <c r="P386" s="223"/>
      <c r="Q386" s="226"/>
      <c r="R386" s="227"/>
      <c r="S386" s="225"/>
    </row>
    <row r="387" spans="14:19" ht="15.75" customHeight="1">
      <c r="N387" s="221"/>
      <c r="O387" s="222"/>
      <c r="P387" s="223"/>
      <c r="Q387" s="222"/>
      <c r="R387" s="224"/>
      <c r="S387" s="225"/>
    </row>
    <row r="388" spans="14:19" ht="15.75" customHeight="1">
      <c r="N388" s="221"/>
      <c r="O388" s="226"/>
      <c r="P388" s="223"/>
      <c r="Q388" s="226"/>
      <c r="R388" s="227"/>
      <c r="S388" s="225"/>
    </row>
    <row r="389" spans="14:19" ht="15.75" customHeight="1">
      <c r="N389" s="221"/>
      <c r="O389" s="226"/>
      <c r="P389" s="223"/>
      <c r="Q389" s="226"/>
      <c r="R389" s="227"/>
      <c r="S389" s="225"/>
    </row>
    <row r="390" spans="14:19" ht="15.75" customHeight="1">
      <c r="N390" s="221"/>
      <c r="O390" s="226"/>
      <c r="P390" s="223"/>
      <c r="Q390" s="226"/>
      <c r="R390" s="227"/>
      <c r="S390" s="225"/>
    </row>
    <row r="391" spans="14:19" ht="15.75" customHeight="1">
      <c r="N391" s="221"/>
      <c r="O391" s="226"/>
      <c r="P391" s="223"/>
      <c r="Q391" s="226"/>
      <c r="R391" s="227"/>
      <c r="S391" s="225"/>
    </row>
    <row r="392" spans="14:19" ht="15.75" customHeight="1">
      <c r="N392" s="221"/>
      <c r="O392" s="226"/>
      <c r="P392" s="223"/>
      <c r="Q392" s="226"/>
      <c r="R392" s="227"/>
      <c r="S392" s="225"/>
    </row>
    <row r="393" spans="14:19" ht="15.75" customHeight="1">
      <c r="N393" s="221"/>
      <c r="O393" s="222"/>
      <c r="P393" s="223"/>
      <c r="Q393" s="222"/>
      <c r="R393" s="224"/>
      <c r="S393" s="225"/>
    </row>
    <row r="394" spans="14:19" ht="15.75" customHeight="1">
      <c r="N394" s="221"/>
      <c r="O394" s="226"/>
      <c r="P394" s="223"/>
      <c r="Q394" s="226"/>
      <c r="R394" s="227"/>
      <c r="S394" s="225"/>
    </row>
    <row r="395" spans="14:19" ht="15.75" customHeight="1">
      <c r="N395" s="221"/>
      <c r="O395" s="226"/>
      <c r="P395" s="223"/>
      <c r="Q395" s="226"/>
      <c r="R395" s="227"/>
      <c r="S395" s="225"/>
    </row>
    <row r="396" spans="14:19" ht="15.75" customHeight="1">
      <c r="N396" s="221"/>
      <c r="O396" s="226"/>
      <c r="P396" s="223"/>
      <c r="Q396" s="226"/>
      <c r="R396" s="227"/>
      <c r="S396" s="225"/>
    </row>
    <row r="397" spans="14:19" ht="15.75" customHeight="1">
      <c r="N397" s="221"/>
      <c r="O397" s="226"/>
      <c r="P397" s="223"/>
      <c r="Q397" s="226"/>
      <c r="R397" s="227"/>
      <c r="S397" s="225"/>
    </row>
    <row r="398" spans="14:19" ht="15.75" customHeight="1">
      <c r="N398" s="221"/>
      <c r="O398" s="226"/>
      <c r="P398" s="223"/>
      <c r="Q398" s="226"/>
      <c r="R398" s="227"/>
      <c r="S398" s="225"/>
    </row>
    <row r="399" spans="14:19" ht="15.75" customHeight="1">
      <c r="N399" s="221"/>
      <c r="O399" s="222"/>
      <c r="P399" s="223"/>
      <c r="Q399" s="222"/>
      <c r="R399" s="224"/>
      <c r="S399" s="225"/>
    </row>
    <row r="400" spans="14:19" ht="15.75" customHeight="1">
      <c r="N400" s="221"/>
      <c r="O400" s="226"/>
      <c r="P400" s="223"/>
      <c r="Q400" s="226"/>
      <c r="R400" s="227"/>
      <c r="S400" s="225"/>
    </row>
    <row r="401" spans="14:19" ht="15.75" customHeight="1">
      <c r="N401" s="221"/>
      <c r="O401" s="226"/>
      <c r="P401" s="223"/>
      <c r="Q401" s="226"/>
      <c r="R401" s="227"/>
      <c r="S401" s="225"/>
    </row>
    <row r="402" spans="14:19" ht="15.75" customHeight="1">
      <c r="N402" s="221"/>
      <c r="O402" s="226"/>
      <c r="P402" s="223"/>
      <c r="Q402" s="226"/>
      <c r="R402" s="227"/>
      <c r="S402" s="225"/>
    </row>
    <row r="403" spans="14:19" ht="15.75" customHeight="1">
      <c r="N403" s="221"/>
      <c r="O403" s="226"/>
      <c r="P403" s="223"/>
      <c r="Q403" s="226"/>
      <c r="R403" s="227"/>
      <c r="S403" s="225"/>
    </row>
    <row r="404" spans="14:19" ht="15.75" customHeight="1">
      <c r="N404" s="221"/>
      <c r="O404" s="226"/>
      <c r="P404" s="223"/>
      <c r="Q404" s="226"/>
      <c r="R404" s="227"/>
      <c r="S404" s="225"/>
    </row>
    <row r="405" spans="14:19" ht="15.75" customHeight="1">
      <c r="N405" s="221"/>
      <c r="O405" s="222"/>
      <c r="P405" s="223"/>
      <c r="Q405" s="222"/>
      <c r="R405" s="224"/>
      <c r="S405" s="225"/>
    </row>
    <row r="406" spans="14:19" ht="15.75" customHeight="1">
      <c r="N406" s="221"/>
      <c r="O406" s="226"/>
      <c r="P406" s="223"/>
      <c r="Q406" s="226"/>
      <c r="R406" s="227"/>
      <c r="S406" s="225"/>
    </row>
    <row r="407" spans="14:19" ht="15.75" customHeight="1">
      <c r="N407" s="221"/>
      <c r="O407" s="226"/>
      <c r="P407" s="223"/>
      <c r="Q407" s="226"/>
      <c r="R407" s="227"/>
      <c r="S407" s="225"/>
    </row>
    <row r="408" spans="14:19" ht="15.75" customHeight="1">
      <c r="N408" s="221"/>
      <c r="O408" s="222"/>
      <c r="P408" s="223"/>
      <c r="Q408" s="222"/>
      <c r="R408" s="224"/>
      <c r="S408" s="225"/>
    </row>
    <row r="409" spans="14:19" ht="15.75" customHeight="1">
      <c r="N409" s="221"/>
      <c r="O409" s="226"/>
      <c r="P409" s="223"/>
      <c r="Q409" s="226"/>
      <c r="R409" s="227"/>
      <c r="S409" s="225"/>
    </row>
    <row r="410" spans="14:19" ht="15.75" customHeight="1">
      <c r="N410" s="221"/>
      <c r="O410" s="226"/>
      <c r="P410" s="223"/>
      <c r="Q410" s="226"/>
      <c r="R410" s="227"/>
      <c r="S410" s="225"/>
    </row>
    <row r="411" spans="14:19" ht="15.75" customHeight="1">
      <c r="N411" s="221"/>
      <c r="O411" s="226"/>
      <c r="P411" s="223"/>
      <c r="Q411" s="226"/>
      <c r="R411" s="227"/>
      <c r="S411" s="225"/>
    </row>
    <row r="412" spans="14:19" ht="15.75" customHeight="1">
      <c r="N412" s="221"/>
      <c r="O412" s="226"/>
      <c r="P412" s="223"/>
      <c r="Q412" s="226"/>
      <c r="R412" s="227"/>
      <c r="S412" s="225"/>
    </row>
    <row r="413" spans="14:19" ht="15.75" customHeight="1">
      <c r="N413" s="221"/>
      <c r="O413" s="226"/>
      <c r="P413" s="223"/>
      <c r="Q413" s="226"/>
      <c r="R413" s="227"/>
      <c r="S413" s="225"/>
    </row>
    <row r="414" spans="14:19" ht="15.75" customHeight="1">
      <c r="N414" s="221"/>
      <c r="O414" s="226"/>
      <c r="P414" s="223"/>
      <c r="Q414" s="226"/>
      <c r="R414" s="227"/>
      <c r="S414" s="225"/>
    </row>
    <row r="415" spans="14:19" ht="15.75" customHeight="1">
      <c r="N415" s="221"/>
      <c r="O415" s="222"/>
      <c r="P415" s="223"/>
      <c r="Q415" s="222"/>
      <c r="R415" s="224"/>
      <c r="S415" s="225"/>
    </row>
    <row r="416" spans="14:19" ht="15.75" customHeight="1">
      <c r="N416" s="221"/>
      <c r="O416" s="226"/>
      <c r="P416" s="223"/>
      <c r="Q416" s="226"/>
      <c r="R416" s="227"/>
      <c r="S416" s="225"/>
    </row>
    <row r="417" spans="14:19" ht="15.75" customHeight="1">
      <c r="N417" s="221"/>
      <c r="O417" s="226"/>
      <c r="P417" s="223"/>
      <c r="Q417" s="226"/>
      <c r="R417" s="227"/>
      <c r="S417" s="225"/>
    </row>
    <row r="418" spans="14:19" ht="15.75" customHeight="1">
      <c r="N418" s="221"/>
      <c r="O418" s="226"/>
      <c r="P418" s="223"/>
      <c r="Q418" s="226"/>
      <c r="R418" s="227"/>
      <c r="S418" s="225"/>
    </row>
    <row r="419" spans="14:19" ht="15.75" customHeight="1">
      <c r="N419" s="221"/>
      <c r="O419" s="226"/>
      <c r="P419" s="223"/>
      <c r="Q419" s="226"/>
      <c r="R419" s="227"/>
      <c r="S419" s="225"/>
    </row>
    <row r="420" spans="14:19" ht="15.75" customHeight="1">
      <c r="N420" s="221"/>
      <c r="O420" s="226"/>
      <c r="P420" s="223"/>
      <c r="Q420" s="226"/>
      <c r="R420" s="227"/>
      <c r="S420" s="225"/>
    </row>
    <row r="421" spans="14:19" ht="15.75" customHeight="1">
      <c r="N421" s="221"/>
      <c r="O421" s="222"/>
      <c r="P421" s="223"/>
      <c r="Q421" s="222"/>
      <c r="R421" s="224"/>
      <c r="S421" s="225"/>
    </row>
    <row r="422" spans="14:19" ht="15.75" customHeight="1">
      <c r="N422" s="221"/>
      <c r="O422" s="226"/>
      <c r="P422" s="223"/>
      <c r="Q422" s="226"/>
      <c r="R422" s="227"/>
      <c r="S422" s="225"/>
    </row>
    <row r="423" spans="14:19" ht="15.75" customHeight="1">
      <c r="N423" s="221"/>
      <c r="O423" s="226"/>
      <c r="P423" s="223"/>
      <c r="Q423" s="226"/>
      <c r="R423" s="227"/>
      <c r="S423" s="225"/>
    </row>
    <row r="424" spans="14:19" ht="15.75" customHeight="1">
      <c r="N424" s="221"/>
      <c r="O424" s="226"/>
      <c r="P424" s="223"/>
      <c r="Q424" s="226"/>
      <c r="R424" s="227"/>
      <c r="S424" s="225"/>
    </row>
    <row r="425" spans="14:19" ht="15.75" customHeight="1">
      <c r="N425" s="221"/>
      <c r="O425" s="226"/>
      <c r="P425" s="223"/>
      <c r="Q425" s="226"/>
      <c r="R425" s="227"/>
      <c r="S425" s="225"/>
    </row>
    <row r="426" spans="14:19" ht="15.75" customHeight="1">
      <c r="N426" s="221"/>
      <c r="O426" s="226"/>
      <c r="P426" s="223"/>
      <c r="Q426" s="226"/>
      <c r="R426" s="227"/>
      <c r="S426" s="225"/>
    </row>
    <row r="427" spans="14:19" ht="15.75" customHeight="1">
      <c r="N427" s="221"/>
      <c r="O427" s="226"/>
      <c r="P427" s="223"/>
      <c r="Q427" s="226"/>
      <c r="R427" s="227"/>
      <c r="S427" s="225"/>
    </row>
    <row r="428" spans="14:19" ht="15.75" customHeight="1">
      <c r="N428" s="221"/>
      <c r="O428" s="226"/>
      <c r="P428" s="223"/>
      <c r="Q428" s="226"/>
      <c r="R428" s="227"/>
      <c r="S428" s="225"/>
    </row>
    <row r="429" spans="14:19" ht="15.75" customHeight="1">
      <c r="N429" s="221"/>
      <c r="O429" s="222"/>
      <c r="P429" s="223"/>
      <c r="Q429" s="222"/>
      <c r="R429" s="224"/>
      <c r="S429" s="225"/>
    </row>
    <row r="430" spans="14:19" ht="15.75" customHeight="1">
      <c r="N430" s="221"/>
      <c r="O430" s="226"/>
      <c r="P430" s="223"/>
      <c r="Q430" s="226"/>
      <c r="R430" s="227"/>
      <c r="S430" s="225"/>
    </row>
    <row r="431" spans="14:19" ht="15.75" customHeight="1">
      <c r="N431" s="221"/>
      <c r="O431" s="226"/>
      <c r="P431" s="223"/>
      <c r="Q431" s="226"/>
      <c r="R431" s="227"/>
      <c r="S431" s="225"/>
    </row>
    <row r="432" spans="14:19" ht="15.75" customHeight="1">
      <c r="N432" s="221"/>
      <c r="O432" s="226"/>
      <c r="P432" s="223"/>
      <c r="Q432" s="226"/>
      <c r="R432" s="227"/>
      <c r="S432" s="225"/>
    </row>
    <row r="433" spans="14:19" ht="15.75" customHeight="1">
      <c r="N433" s="221"/>
      <c r="O433" s="226"/>
      <c r="P433" s="223"/>
      <c r="Q433" s="226"/>
      <c r="R433" s="227"/>
      <c r="S433" s="225"/>
    </row>
    <row r="434" spans="14:19" ht="15.75" customHeight="1">
      <c r="N434" s="221"/>
      <c r="O434" s="226"/>
      <c r="P434" s="223"/>
      <c r="Q434" s="226"/>
      <c r="R434" s="227"/>
      <c r="S434" s="225"/>
    </row>
    <row r="435" spans="14:19" ht="15.75" customHeight="1">
      <c r="N435" s="221"/>
      <c r="O435" s="222"/>
      <c r="P435" s="223"/>
      <c r="Q435" s="222"/>
      <c r="R435" s="224"/>
      <c r="S435" s="225"/>
    </row>
    <row r="436" spans="14:19" ht="15.75" customHeight="1">
      <c r="N436" s="221"/>
      <c r="O436" s="226"/>
      <c r="P436" s="223"/>
      <c r="Q436" s="226"/>
      <c r="R436" s="227"/>
      <c r="S436" s="225"/>
    </row>
    <row r="437" spans="14:19" ht="15.75" customHeight="1">
      <c r="N437" s="221"/>
      <c r="O437" s="226"/>
      <c r="P437" s="223"/>
      <c r="Q437" s="226"/>
      <c r="R437" s="227"/>
      <c r="S437" s="225"/>
    </row>
    <row r="438" spans="14:19" ht="15.75" customHeight="1">
      <c r="N438" s="221"/>
      <c r="O438" s="226"/>
      <c r="P438" s="223"/>
      <c r="Q438" s="226"/>
      <c r="R438" s="227"/>
      <c r="S438" s="225"/>
    </row>
    <row r="439" spans="14:19" ht="15.75" customHeight="1">
      <c r="N439" s="221"/>
      <c r="O439" s="226"/>
      <c r="P439" s="223"/>
      <c r="Q439" s="226"/>
      <c r="R439" s="227"/>
      <c r="S439" s="225"/>
    </row>
    <row r="440" spans="14:19" ht="15.75" customHeight="1">
      <c r="N440" s="221"/>
      <c r="O440" s="226"/>
      <c r="P440" s="223"/>
      <c r="Q440" s="226"/>
      <c r="R440" s="227"/>
      <c r="S440" s="225"/>
    </row>
    <row r="441" spans="14:19" ht="15.75" customHeight="1">
      <c r="N441" s="221"/>
      <c r="O441" s="222"/>
      <c r="P441" s="223"/>
      <c r="Q441" s="222"/>
      <c r="R441" s="224"/>
      <c r="S441" s="225"/>
    </row>
    <row r="442" spans="14:19" ht="15.75" customHeight="1">
      <c r="N442" s="221"/>
      <c r="O442" s="226"/>
      <c r="P442" s="223"/>
      <c r="Q442" s="226"/>
      <c r="R442" s="227"/>
      <c r="S442" s="225"/>
    </row>
    <row r="443" spans="14:19" ht="15.75" customHeight="1">
      <c r="N443" s="221"/>
      <c r="O443" s="226"/>
      <c r="P443" s="223"/>
      <c r="Q443" s="226"/>
      <c r="R443" s="227"/>
      <c r="S443" s="225"/>
    </row>
    <row r="444" spans="14:19" ht="15.75" customHeight="1">
      <c r="N444" s="221"/>
      <c r="O444" s="226"/>
      <c r="P444" s="223"/>
      <c r="Q444" s="226"/>
      <c r="R444" s="227"/>
      <c r="S444" s="225"/>
    </row>
    <row r="445" spans="14:19" ht="15.75" customHeight="1">
      <c r="N445" s="221"/>
      <c r="O445" s="226"/>
      <c r="P445" s="223"/>
      <c r="Q445" s="226"/>
      <c r="R445" s="227"/>
      <c r="S445" s="225"/>
    </row>
    <row r="446" spans="14:19" ht="15.75" customHeight="1">
      <c r="N446" s="221"/>
      <c r="O446" s="226"/>
      <c r="P446" s="223"/>
      <c r="Q446" s="226"/>
      <c r="R446" s="227"/>
      <c r="S446" s="225"/>
    </row>
    <row r="447" spans="14:19" ht="15.75" customHeight="1">
      <c r="N447" s="221"/>
      <c r="O447" s="222"/>
      <c r="P447" s="223"/>
      <c r="Q447" s="222"/>
      <c r="R447" s="224"/>
      <c r="S447" s="225"/>
    </row>
    <row r="448" spans="14:19" ht="15.75" customHeight="1">
      <c r="N448" s="221"/>
      <c r="O448" s="226"/>
      <c r="P448" s="223"/>
      <c r="Q448" s="226"/>
      <c r="R448" s="227"/>
      <c r="S448" s="225"/>
    </row>
    <row r="449" spans="14:19" ht="15.75" customHeight="1">
      <c r="N449" s="221"/>
      <c r="O449" s="226"/>
      <c r="P449" s="223"/>
      <c r="Q449" s="226"/>
      <c r="R449" s="227"/>
      <c r="S449" s="225"/>
    </row>
    <row r="450" spans="14:19" ht="15.75" customHeight="1">
      <c r="N450" s="221"/>
      <c r="O450" s="222"/>
      <c r="P450" s="223"/>
      <c r="Q450" s="222"/>
      <c r="R450" s="224"/>
      <c r="S450" s="225"/>
    </row>
    <row r="451" spans="14:19" ht="15.75" customHeight="1">
      <c r="N451" s="221"/>
      <c r="O451" s="226"/>
      <c r="P451" s="223"/>
      <c r="Q451" s="226"/>
      <c r="R451" s="227"/>
      <c r="S451" s="225"/>
    </row>
    <row r="452" spans="14:19" ht="15.75" customHeight="1">
      <c r="N452" s="221"/>
      <c r="O452" s="226"/>
      <c r="P452" s="223"/>
      <c r="Q452" s="226"/>
      <c r="R452" s="227"/>
      <c r="S452" s="225"/>
    </row>
    <row r="453" spans="14:19" ht="15.75" customHeight="1">
      <c r="N453" s="221"/>
      <c r="O453" s="226"/>
      <c r="P453" s="223"/>
      <c r="Q453" s="226"/>
      <c r="R453" s="227"/>
      <c r="S453" s="225"/>
    </row>
    <row r="454" spans="14:19" ht="15.75" customHeight="1">
      <c r="N454" s="221"/>
      <c r="O454" s="226"/>
      <c r="P454" s="223"/>
      <c r="Q454" s="226"/>
      <c r="R454" s="227"/>
      <c r="S454" s="225"/>
    </row>
    <row r="455" spans="14:19" ht="15.75" customHeight="1">
      <c r="N455" s="221"/>
      <c r="O455" s="226"/>
      <c r="P455" s="223"/>
      <c r="Q455" s="226"/>
      <c r="R455" s="227"/>
      <c r="S455" s="225"/>
    </row>
    <row r="456" spans="14:19" ht="15.75" customHeight="1">
      <c r="N456" s="221"/>
      <c r="O456" s="226"/>
      <c r="P456" s="223"/>
      <c r="Q456" s="226"/>
      <c r="R456" s="227"/>
      <c r="S456" s="225"/>
    </row>
    <row r="457" spans="14:19" ht="15.75" customHeight="1">
      <c r="N457" s="221"/>
      <c r="O457" s="222"/>
      <c r="P457" s="223"/>
      <c r="Q457" s="222"/>
      <c r="R457" s="224"/>
      <c r="S457" s="225"/>
    </row>
    <row r="458" spans="14:19" ht="15.75" customHeight="1">
      <c r="N458" s="221"/>
      <c r="O458" s="226"/>
      <c r="P458" s="223"/>
      <c r="Q458" s="226"/>
      <c r="R458" s="227"/>
      <c r="S458" s="225"/>
    </row>
    <row r="459" spans="14:19" ht="15.75" customHeight="1">
      <c r="N459" s="221"/>
      <c r="O459" s="226"/>
      <c r="P459" s="223"/>
      <c r="Q459" s="226"/>
      <c r="R459" s="227"/>
      <c r="S459" s="225"/>
    </row>
    <row r="460" spans="14:19" ht="15.75" customHeight="1">
      <c r="N460" s="221"/>
      <c r="O460" s="226"/>
      <c r="P460" s="223"/>
      <c r="Q460" s="226"/>
      <c r="R460" s="227"/>
      <c r="S460" s="225"/>
    </row>
    <row r="461" spans="14:19" ht="15.75" customHeight="1">
      <c r="N461" s="221"/>
      <c r="O461" s="226"/>
      <c r="P461" s="223"/>
      <c r="Q461" s="226"/>
      <c r="R461" s="227"/>
      <c r="S461" s="225"/>
    </row>
    <row r="462" spans="14:19" ht="15.75" customHeight="1">
      <c r="N462" s="221"/>
      <c r="O462" s="226"/>
      <c r="P462" s="223"/>
      <c r="Q462" s="226"/>
      <c r="R462" s="227"/>
      <c r="S462" s="225"/>
    </row>
    <row r="463" spans="14:19" ht="15.75" customHeight="1">
      <c r="N463" s="221"/>
      <c r="O463" s="222"/>
      <c r="P463" s="223"/>
      <c r="Q463" s="222"/>
      <c r="R463" s="224"/>
      <c r="S463" s="225"/>
    </row>
    <row r="464" spans="14:19" ht="15.75" customHeight="1">
      <c r="N464" s="221"/>
      <c r="O464" s="226"/>
      <c r="P464" s="223"/>
      <c r="Q464" s="226"/>
      <c r="R464" s="227"/>
      <c r="S464" s="225"/>
    </row>
    <row r="465" spans="14:19" ht="15.75" customHeight="1">
      <c r="N465" s="221"/>
      <c r="O465" s="226"/>
      <c r="P465" s="223"/>
      <c r="Q465" s="226"/>
      <c r="R465" s="227"/>
      <c r="S465" s="225"/>
    </row>
    <row r="466" spans="14:19" ht="15.75" customHeight="1">
      <c r="N466" s="221"/>
      <c r="O466" s="226"/>
      <c r="P466" s="223"/>
      <c r="Q466" s="226"/>
      <c r="R466" s="227"/>
      <c r="S466" s="225"/>
    </row>
    <row r="467" spans="14:19" ht="15.75" customHeight="1">
      <c r="N467" s="221"/>
      <c r="O467" s="226"/>
      <c r="P467" s="223"/>
      <c r="Q467" s="226"/>
      <c r="R467" s="227"/>
      <c r="S467" s="225"/>
    </row>
    <row r="468" spans="14:19" ht="15.75" customHeight="1">
      <c r="N468" s="221"/>
      <c r="O468" s="226"/>
      <c r="P468" s="223"/>
      <c r="Q468" s="226"/>
      <c r="R468" s="227"/>
      <c r="S468" s="225"/>
    </row>
    <row r="469" spans="14:19" ht="15.75" customHeight="1">
      <c r="N469" s="221"/>
      <c r="O469" s="226"/>
      <c r="P469" s="223"/>
      <c r="Q469" s="226"/>
      <c r="R469" s="227"/>
      <c r="S469" s="225"/>
    </row>
    <row r="470" spans="14:19" ht="15.75" customHeight="1">
      <c r="N470" s="221"/>
      <c r="O470" s="226"/>
      <c r="P470" s="223"/>
      <c r="Q470" s="226"/>
      <c r="R470" s="227"/>
      <c r="S470" s="225"/>
    </row>
    <row r="471" spans="14:19" ht="15.75" customHeight="1">
      <c r="N471" s="221"/>
      <c r="O471" s="222"/>
      <c r="P471" s="223"/>
      <c r="Q471" s="222"/>
      <c r="R471" s="224"/>
      <c r="S471" s="225"/>
    </row>
    <row r="472" spans="14:19" ht="15.75" customHeight="1">
      <c r="N472" s="221"/>
      <c r="O472" s="226"/>
      <c r="P472" s="223"/>
      <c r="Q472" s="226"/>
      <c r="R472" s="227"/>
      <c r="S472" s="225"/>
    </row>
    <row r="473" spans="14:19" ht="15.75" customHeight="1">
      <c r="N473" s="221"/>
      <c r="O473" s="226"/>
      <c r="P473" s="223"/>
      <c r="Q473" s="226"/>
      <c r="R473" s="227"/>
      <c r="S473" s="225"/>
    </row>
    <row r="474" spans="14:19" ht="15.75" customHeight="1">
      <c r="N474" s="221"/>
      <c r="O474" s="226"/>
      <c r="P474" s="223"/>
      <c r="Q474" s="226"/>
      <c r="R474" s="227"/>
      <c r="S474" s="225"/>
    </row>
    <row r="475" spans="14:19" ht="15.75" customHeight="1">
      <c r="N475" s="221"/>
      <c r="O475" s="226"/>
      <c r="P475" s="223"/>
      <c r="Q475" s="226"/>
      <c r="R475" s="227"/>
      <c r="S475" s="225"/>
    </row>
    <row r="476" spans="14:19" ht="15.75" customHeight="1">
      <c r="N476" s="221"/>
      <c r="O476" s="226"/>
      <c r="P476" s="223"/>
      <c r="Q476" s="226"/>
      <c r="R476" s="227"/>
      <c r="S476" s="225"/>
    </row>
    <row r="477" spans="14:19" ht="15.75" customHeight="1">
      <c r="N477" s="221"/>
      <c r="O477" s="222"/>
      <c r="P477" s="223"/>
      <c r="Q477" s="222"/>
      <c r="R477" s="224"/>
      <c r="S477" s="225"/>
    </row>
    <row r="478" spans="14:19" ht="15.75" customHeight="1">
      <c r="N478" s="221"/>
      <c r="O478" s="226"/>
      <c r="P478" s="223"/>
      <c r="Q478" s="226"/>
      <c r="R478" s="227"/>
      <c r="S478" s="225"/>
    </row>
    <row r="479" spans="14:19" ht="15.75" customHeight="1">
      <c r="N479" s="221"/>
      <c r="O479" s="226"/>
      <c r="P479" s="223"/>
      <c r="Q479" s="226"/>
      <c r="R479" s="227"/>
      <c r="S479" s="225"/>
    </row>
    <row r="480" spans="14:19" ht="15.75" customHeight="1">
      <c r="N480" s="221"/>
      <c r="O480" s="226"/>
      <c r="P480" s="223"/>
      <c r="Q480" s="226"/>
      <c r="R480" s="227"/>
      <c r="S480" s="225"/>
    </row>
    <row r="481" spans="14:19" ht="15.75" customHeight="1">
      <c r="N481" s="221"/>
      <c r="O481" s="226"/>
      <c r="P481" s="223"/>
      <c r="Q481" s="226"/>
      <c r="R481" s="227"/>
      <c r="S481" s="225"/>
    </row>
    <row r="482" spans="14:19" ht="15.75" customHeight="1">
      <c r="N482" s="221"/>
      <c r="O482" s="226"/>
      <c r="P482" s="223"/>
      <c r="Q482" s="226"/>
      <c r="R482" s="227"/>
      <c r="S482" s="225"/>
    </row>
    <row r="483" spans="14:19" ht="15.75" customHeight="1">
      <c r="N483" s="221"/>
      <c r="O483" s="222"/>
      <c r="P483" s="223"/>
      <c r="Q483" s="222"/>
      <c r="R483" s="224"/>
      <c r="S483" s="225"/>
    </row>
    <row r="484" spans="14:19" ht="15.75" customHeight="1">
      <c r="N484" s="221"/>
      <c r="O484" s="226"/>
      <c r="P484" s="223"/>
      <c r="Q484" s="226"/>
      <c r="R484" s="227"/>
      <c r="S484" s="225"/>
    </row>
    <row r="485" spans="14:19" ht="15.75" customHeight="1">
      <c r="N485" s="221"/>
      <c r="O485" s="226"/>
      <c r="P485" s="223"/>
      <c r="Q485" s="226"/>
      <c r="R485" s="227"/>
      <c r="S485" s="225"/>
    </row>
    <row r="486" spans="14:19" ht="15.75" customHeight="1">
      <c r="N486" s="221"/>
      <c r="O486" s="226"/>
      <c r="P486" s="223"/>
      <c r="Q486" s="226"/>
      <c r="R486" s="227"/>
      <c r="S486" s="225"/>
    </row>
    <row r="487" spans="14:19" ht="15.75" customHeight="1">
      <c r="N487" s="221"/>
      <c r="O487" s="226"/>
      <c r="P487" s="223"/>
      <c r="Q487" s="226"/>
      <c r="R487" s="227"/>
      <c r="S487" s="225"/>
    </row>
    <row r="488" spans="14:19" ht="15.75" customHeight="1">
      <c r="N488" s="221"/>
      <c r="O488" s="226"/>
      <c r="P488" s="223"/>
      <c r="Q488" s="226"/>
      <c r="R488" s="227"/>
      <c r="S488" s="225"/>
    </row>
    <row r="489" spans="14:19" ht="15.75" customHeight="1">
      <c r="N489" s="221"/>
      <c r="O489" s="222"/>
      <c r="P489" s="223"/>
      <c r="Q489" s="222"/>
      <c r="R489" s="224"/>
      <c r="S489" s="225"/>
    </row>
    <row r="490" spans="14:19" ht="15.75" customHeight="1">
      <c r="N490" s="221"/>
      <c r="O490" s="226"/>
      <c r="P490" s="223"/>
      <c r="Q490" s="226"/>
      <c r="R490" s="227"/>
      <c r="S490" s="225"/>
    </row>
    <row r="491" spans="14:19" ht="15.75" customHeight="1">
      <c r="N491" s="221"/>
      <c r="O491" s="226"/>
      <c r="P491" s="223"/>
      <c r="Q491" s="226"/>
      <c r="R491" s="227"/>
      <c r="S491" s="225"/>
    </row>
    <row r="492" spans="14:19" ht="15.75" customHeight="1">
      <c r="N492" s="221"/>
      <c r="O492" s="222"/>
      <c r="P492" s="223"/>
      <c r="Q492" s="222"/>
      <c r="R492" s="224"/>
      <c r="S492" s="225"/>
    </row>
    <row r="493" spans="14:19" ht="15.75" customHeight="1">
      <c r="N493" s="221"/>
      <c r="O493" s="226"/>
      <c r="P493" s="223"/>
      <c r="Q493" s="226"/>
      <c r="R493" s="227"/>
      <c r="S493" s="225"/>
    </row>
    <row r="494" spans="14:19" ht="15.75" customHeight="1">
      <c r="N494" s="221"/>
      <c r="O494" s="226"/>
      <c r="P494" s="223"/>
      <c r="Q494" s="226"/>
      <c r="R494" s="227"/>
      <c r="S494" s="225"/>
    </row>
    <row r="495" spans="14:19" ht="15.75" customHeight="1">
      <c r="N495" s="221"/>
      <c r="O495" s="226"/>
      <c r="P495" s="223"/>
      <c r="Q495" s="226"/>
      <c r="R495" s="227"/>
      <c r="S495" s="225"/>
    </row>
    <row r="496" spans="14:19" ht="15.75" customHeight="1">
      <c r="N496" s="221"/>
      <c r="O496" s="226"/>
      <c r="P496" s="223"/>
      <c r="Q496" s="226"/>
      <c r="R496" s="227"/>
      <c r="S496" s="225"/>
    </row>
    <row r="497" spans="14:19" ht="15.75" customHeight="1">
      <c r="N497" s="221"/>
      <c r="O497" s="226"/>
      <c r="P497" s="223"/>
      <c r="Q497" s="226"/>
      <c r="R497" s="227"/>
      <c r="S497" s="225"/>
    </row>
    <row r="498" spans="14:19" ht="15.75" customHeight="1">
      <c r="N498" s="221"/>
      <c r="O498" s="226"/>
      <c r="P498" s="223"/>
      <c r="Q498" s="226"/>
      <c r="R498" s="227"/>
      <c r="S498" s="225"/>
    </row>
    <row r="499" spans="14:19" ht="15.75" customHeight="1">
      <c r="N499" s="221"/>
      <c r="O499" s="222"/>
      <c r="P499" s="223"/>
      <c r="Q499" s="222"/>
      <c r="R499" s="224"/>
      <c r="S499" s="225"/>
    </row>
    <row r="500" spans="14:19" ht="15.75" customHeight="1">
      <c r="N500" s="221"/>
      <c r="O500" s="226"/>
      <c r="P500" s="223"/>
      <c r="Q500" s="226"/>
      <c r="R500" s="227"/>
      <c r="S500" s="225"/>
    </row>
    <row r="501" spans="14:19" ht="15.75" customHeight="1">
      <c r="N501" s="221"/>
      <c r="O501" s="226"/>
      <c r="P501" s="223"/>
      <c r="Q501" s="226"/>
      <c r="R501" s="227"/>
      <c r="S501" s="225"/>
    </row>
    <row r="502" spans="14:19" ht="15.75" customHeight="1">
      <c r="N502" s="221"/>
      <c r="O502" s="226"/>
      <c r="P502" s="223"/>
      <c r="Q502" s="226"/>
      <c r="R502" s="227"/>
      <c r="S502" s="225"/>
    </row>
    <row r="503" spans="14:19" ht="15.75" customHeight="1">
      <c r="N503" s="221"/>
      <c r="O503" s="226"/>
      <c r="P503" s="223"/>
      <c r="Q503" s="226"/>
      <c r="R503" s="227"/>
      <c r="S503" s="225"/>
    </row>
    <row r="504" spans="14:19" ht="15.75" customHeight="1">
      <c r="N504" s="221"/>
      <c r="O504" s="226"/>
      <c r="P504" s="223"/>
      <c r="Q504" s="226"/>
      <c r="R504" s="227"/>
      <c r="S504" s="225"/>
    </row>
    <row r="505" spans="14:19" ht="15.75" customHeight="1">
      <c r="N505" s="221"/>
      <c r="O505" s="222"/>
      <c r="P505" s="223"/>
      <c r="Q505" s="222"/>
      <c r="R505" s="224"/>
      <c r="S505" s="225"/>
    </row>
    <row r="506" spans="14:19" ht="15.75" customHeight="1">
      <c r="N506" s="221"/>
      <c r="O506" s="226"/>
      <c r="P506" s="223"/>
      <c r="Q506" s="226"/>
      <c r="R506" s="227"/>
      <c r="S506" s="225"/>
    </row>
    <row r="507" spans="14:19" ht="15.75" customHeight="1">
      <c r="N507" s="221"/>
      <c r="O507" s="226"/>
      <c r="P507" s="223"/>
      <c r="Q507" s="226"/>
      <c r="R507" s="227"/>
      <c r="S507" s="225"/>
    </row>
    <row r="508" spans="14:19" ht="15.75" customHeight="1">
      <c r="N508" s="221"/>
      <c r="O508" s="226"/>
      <c r="P508" s="223"/>
      <c r="Q508" s="226"/>
      <c r="R508" s="227"/>
      <c r="S508" s="225"/>
    </row>
    <row r="509" spans="14:19" ht="15.75" customHeight="1">
      <c r="N509" s="221"/>
      <c r="O509" s="226"/>
      <c r="P509" s="223"/>
      <c r="Q509" s="226"/>
      <c r="R509" s="227"/>
      <c r="S509" s="225"/>
    </row>
    <row r="510" spans="14:19" ht="15.75" customHeight="1">
      <c r="N510" s="221"/>
      <c r="O510" s="226"/>
      <c r="P510" s="223"/>
      <c r="Q510" s="226"/>
      <c r="R510" s="227"/>
      <c r="S510" s="225"/>
    </row>
    <row r="511" spans="14:19" ht="15.75" customHeight="1">
      <c r="N511" s="221"/>
      <c r="O511" s="226"/>
      <c r="P511" s="223"/>
      <c r="Q511" s="226"/>
      <c r="R511" s="227"/>
      <c r="S511" s="225"/>
    </row>
    <row r="512" spans="14:19" ht="15.75" customHeight="1">
      <c r="N512" s="221"/>
      <c r="O512" s="226"/>
      <c r="P512" s="223"/>
      <c r="Q512" s="226"/>
      <c r="R512" s="227"/>
      <c r="S512" s="225"/>
    </row>
    <row r="513" spans="14:19" ht="15.75" customHeight="1">
      <c r="N513" s="221"/>
      <c r="O513" s="222"/>
      <c r="P513" s="223"/>
      <c r="Q513" s="222"/>
      <c r="R513" s="224"/>
      <c r="S513" s="225"/>
    </row>
    <row r="514" spans="14:19" ht="15.75" customHeight="1">
      <c r="N514" s="221"/>
      <c r="O514" s="226"/>
      <c r="P514" s="223"/>
      <c r="Q514" s="226"/>
      <c r="R514" s="227"/>
      <c r="S514" s="225"/>
    </row>
    <row r="515" spans="14:19" ht="15.75" customHeight="1">
      <c r="N515" s="221"/>
      <c r="O515" s="226"/>
      <c r="P515" s="223"/>
      <c r="Q515" s="226"/>
      <c r="R515" s="227"/>
      <c r="S515" s="225"/>
    </row>
    <row r="516" spans="14:19" ht="15.75" customHeight="1">
      <c r="N516" s="221"/>
      <c r="O516" s="226"/>
      <c r="P516" s="223"/>
      <c r="Q516" s="226"/>
      <c r="R516" s="227"/>
      <c r="S516" s="225"/>
    </row>
    <row r="517" spans="14:19" ht="15.75" customHeight="1">
      <c r="N517" s="221"/>
      <c r="O517" s="226"/>
      <c r="P517" s="223"/>
      <c r="Q517" s="226"/>
      <c r="R517" s="227"/>
      <c r="S517" s="225"/>
    </row>
    <row r="518" spans="14:19" ht="15.75" customHeight="1">
      <c r="N518" s="221"/>
      <c r="O518" s="226"/>
      <c r="P518" s="223"/>
      <c r="Q518" s="226"/>
      <c r="R518" s="227"/>
      <c r="S518" s="225"/>
    </row>
    <row r="519" spans="14:19" ht="15.75" customHeight="1">
      <c r="N519" s="221"/>
      <c r="O519" s="222"/>
      <c r="P519" s="223"/>
      <c r="Q519" s="222"/>
      <c r="R519" s="224"/>
      <c r="S519" s="225"/>
    </row>
    <row r="520" spans="14:19" ht="15.75" customHeight="1">
      <c r="N520" s="221"/>
      <c r="O520" s="226"/>
      <c r="P520" s="223"/>
      <c r="Q520" s="226"/>
      <c r="R520" s="227"/>
      <c r="S520" s="225"/>
    </row>
    <row r="521" spans="14:19" ht="15.75" customHeight="1">
      <c r="N521" s="221"/>
      <c r="O521" s="226"/>
      <c r="P521" s="223"/>
      <c r="Q521" s="226"/>
      <c r="R521" s="227"/>
      <c r="S521" s="225"/>
    </row>
    <row r="522" spans="14:19" ht="15.75" customHeight="1">
      <c r="N522" s="221"/>
      <c r="O522" s="226"/>
      <c r="P522" s="223"/>
      <c r="Q522" s="226"/>
      <c r="R522" s="227"/>
      <c r="S522" s="225"/>
    </row>
    <row r="523" spans="14:19" ht="15.75" customHeight="1">
      <c r="N523" s="221"/>
      <c r="O523" s="226"/>
      <c r="P523" s="223"/>
      <c r="Q523" s="226"/>
      <c r="R523" s="227"/>
      <c r="S523" s="225"/>
    </row>
    <row r="524" spans="14:19" ht="15.75" customHeight="1">
      <c r="N524" s="221"/>
      <c r="O524" s="226"/>
      <c r="P524" s="223"/>
      <c r="Q524" s="226"/>
      <c r="R524" s="227"/>
      <c r="S524" s="22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J1" zoomScale="145" zoomScaleNormal="145" workbookViewId="0">
      <selection activeCell="L13" sqref="L1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83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38" t="s">
        <v>41</v>
      </c>
      <c r="G7" s="238"/>
      <c r="H7" s="127"/>
      <c r="I7" s="155"/>
      <c r="J7" s="120"/>
      <c r="K7" s="238" t="s">
        <v>96</v>
      </c>
      <c r="L7" s="238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17 November 2024</v>
      </c>
      <c r="H8" s="129"/>
      <c r="I8" s="85"/>
      <c r="J8" s="128"/>
      <c r="K8" s="124" t="s">
        <v>84</v>
      </c>
      <c r="L8" s="138" t="str">
        <f ca="1">PENGATURAN!B39</f>
        <v>17 November 2024</v>
      </c>
      <c r="M8" s="129"/>
      <c r="N8" s="193"/>
      <c r="O8" s="245" t="s">
        <v>114</v>
      </c>
      <c r="P8" s="246"/>
      <c r="Q8" s="114"/>
      <c r="R8" s="247" t="s">
        <v>2</v>
      </c>
      <c r="S8" s="248"/>
      <c r="T8" s="87"/>
      <c r="U8" s="236" t="s">
        <v>3</v>
      </c>
      <c r="V8" s="237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9" t="s">
        <v>4</v>
      </c>
      <c r="P12" s="240"/>
      <c r="Q12" s="114"/>
      <c r="R12" s="241" t="s">
        <v>5</v>
      </c>
      <c r="S12" s="242"/>
      <c r="T12" s="87"/>
      <c r="U12" s="243" t="s">
        <v>6</v>
      </c>
      <c r="V12" s="244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5" t="s">
        <v>115</v>
      </c>
      <c r="P16" s="246"/>
      <c r="Q16" s="114"/>
      <c r="R16" s="247" t="s">
        <v>32</v>
      </c>
      <c r="S16" s="248"/>
      <c r="T16" s="87"/>
      <c r="U16" s="236" t="s">
        <v>33</v>
      </c>
      <c r="V16" s="237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8" t="s">
        <v>93</v>
      </c>
      <c r="G18" s="238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18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9" t="s">
        <v>35</v>
      </c>
      <c r="P20" s="240"/>
      <c r="Q20" s="114"/>
      <c r="R20" s="241" t="s">
        <v>12</v>
      </c>
      <c r="S20" s="242"/>
      <c r="T20" s="87"/>
      <c r="U20" s="243" t="s">
        <v>116</v>
      </c>
      <c r="V20" s="244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6" t="s">
        <v>34</v>
      </c>
      <c r="P24" s="237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77"/>
      <c r="H101" s="50"/>
      <c r="I101" s="50"/>
      <c r="J101" s="77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opLeftCell="A13"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1"/>
      <c r="L6" s="273"/>
      <c r="M6" s="273"/>
      <c r="N6" s="273"/>
      <c r="O6" s="231"/>
      <c r="P6" s="231"/>
      <c r="Q6" s="273"/>
      <c r="R6" s="274"/>
      <c r="S6" s="268"/>
      <c r="T6" s="269"/>
      <c r="U6" s="269"/>
      <c r="V6" s="270"/>
      <c r="W6" s="269"/>
      <c r="X6" s="269"/>
      <c r="Y6" s="268"/>
      <c r="Z6" s="269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58"/>
      <c r="M7" s="271" t="s">
        <v>66</v>
      </c>
      <c r="N7" s="271"/>
      <c r="O7" s="42"/>
      <c r="P7" s="272">
        <v>2026</v>
      </c>
      <c r="Q7" s="272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9" t="s">
        <v>15</v>
      </c>
      <c r="H86" s="249"/>
      <c r="I86" s="249"/>
      <c r="J86" s="249"/>
      <c r="K86" s="249"/>
      <c r="L86" s="43"/>
      <c r="M86" s="43"/>
      <c r="O86" s="251" t="s">
        <v>11</v>
      </c>
      <c r="P86" s="251"/>
      <c r="Q86" s="251"/>
      <c r="R86" s="251"/>
      <c r="S86" s="251"/>
      <c r="T86" s="251"/>
      <c r="V86" s="251" t="s">
        <v>28</v>
      </c>
      <c r="W86" s="251"/>
      <c r="X86" s="251"/>
      <c r="Y86" s="251"/>
      <c r="Z86" s="251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1"/>
      <c r="P87" s="251"/>
      <c r="Q87" s="251"/>
      <c r="R87" s="251"/>
      <c r="S87" s="251"/>
      <c r="T87" s="251"/>
      <c r="V87" s="251"/>
      <c r="W87" s="251"/>
      <c r="X87" s="251"/>
      <c r="Y87" s="251"/>
      <c r="Z87" s="251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2">
        <v>6000000</v>
      </c>
      <c r="P88" s="253"/>
      <c r="Q88" s="253"/>
      <c r="R88" s="253"/>
      <c r="S88" s="253"/>
      <c r="T88" s="254"/>
      <c r="V88" s="252">
        <v>6000000</v>
      </c>
      <c r="W88" s="253"/>
      <c r="X88" s="253"/>
      <c r="Y88" s="253"/>
      <c r="Z88" s="254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5"/>
      <c r="P89" s="256"/>
      <c r="Q89" s="256"/>
      <c r="R89" s="256"/>
      <c r="S89" s="256"/>
      <c r="T89" s="257"/>
      <c r="V89" s="255"/>
      <c r="W89" s="256"/>
      <c r="X89" s="256"/>
      <c r="Y89" s="256"/>
      <c r="Z89" s="257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5"/>
      <c r="P90" s="256"/>
      <c r="Q90" s="256"/>
      <c r="R90" s="256"/>
      <c r="S90" s="256"/>
      <c r="T90" s="257"/>
      <c r="V90" s="255"/>
      <c r="W90" s="256"/>
      <c r="X90" s="256"/>
      <c r="Y90" s="256"/>
      <c r="Z90" s="257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5"/>
      <c r="P91" s="256"/>
      <c r="Q91" s="256"/>
      <c r="R91" s="256"/>
      <c r="S91" s="256"/>
      <c r="T91" s="257"/>
      <c r="V91" s="255"/>
      <c r="W91" s="256"/>
      <c r="X91" s="256"/>
      <c r="Y91" s="256"/>
      <c r="Z91" s="257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5"/>
      <c r="P92" s="256"/>
      <c r="Q92" s="256"/>
      <c r="R92" s="256"/>
      <c r="S92" s="256"/>
      <c r="T92" s="257"/>
      <c r="V92" s="255"/>
      <c r="W92" s="256"/>
      <c r="X92" s="256"/>
      <c r="Y92" s="256"/>
      <c r="Z92" s="257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5"/>
      <c r="P93" s="256"/>
      <c r="Q93" s="256"/>
      <c r="R93" s="256"/>
      <c r="S93" s="256"/>
      <c r="T93" s="257"/>
      <c r="V93" s="255"/>
      <c r="W93" s="256"/>
      <c r="X93" s="256"/>
      <c r="Y93" s="256"/>
      <c r="Z93" s="257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5"/>
      <c r="P94" s="256"/>
      <c r="Q94" s="256"/>
      <c r="R94" s="256"/>
      <c r="S94" s="256"/>
      <c r="T94" s="257"/>
      <c r="V94" s="255"/>
      <c r="W94" s="256"/>
      <c r="X94" s="256"/>
      <c r="Y94" s="256"/>
      <c r="Z94" s="257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8"/>
      <c r="P95" s="259"/>
      <c r="Q95" s="259"/>
      <c r="R95" s="259"/>
      <c r="S95" s="259"/>
      <c r="T95" s="260"/>
      <c r="V95" s="258"/>
      <c r="W95" s="259"/>
      <c r="X95" s="259"/>
      <c r="Y95" s="259"/>
      <c r="Z95" s="260"/>
    </row>
    <row r="97" spans="7:26" ht="15.75" customHeight="1">
      <c r="G97" s="261" t="s">
        <v>12</v>
      </c>
      <c r="H97" s="261"/>
      <c r="I97" s="261"/>
      <c r="J97" s="261"/>
      <c r="K97" s="261"/>
      <c r="L97" s="261"/>
      <c r="M97" s="101"/>
      <c r="O97" s="251" t="s">
        <v>29</v>
      </c>
      <c r="P97" s="251"/>
      <c r="Q97" s="251"/>
      <c r="R97" s="251"/>
      <c r="S97" s="251"/>
      <c r="T97" s="251"/>
      <c r="V97" s="262" t="s">
        <v>27</v>
      </c>
      <c r="W97" s="263"/>
      <c r="X97" s="263"/>
      <c r="Y97" s="263"/>
      <c r="Z97" s="264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1"/>
      <c r="P98" s="251"/>
      <c r="Q98" s="251"/>
      <c r="R98" s="251"/>
      <c r="S98" s="251"/>
      <c r="T98" s="251"/>
      <c r="V98" s="265"/>
      <c r="W98" s="266"/>
      <c r="X98" s="266"/>
      <c r="Y98" s="266"/>
      <c r="Z98" s="267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2">
        <v>6000000</v>
      </c>
      <c r="P99" s="253"/>
      <c r="Q99" s="253"/>
      <c r="R99" s="253"/>
      <c r="S99" s="253"/>
      <c r="T99" s="254"/>
      <c r="V99" s="252">
        <v>6000000</v>
      </c>
      <c r="W99" s="253"/>
      <c r="X99" s="253"/>
      <c r="Y99" s="253"/>
      <c r="Z99" s="254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5"/>
      <c r="P100" s="256"/>
      <c r="Q100" s="256"/>
      <c r="R100" s="256"/>
      <c r="S100" s="256"/>
      <c r="T100" s="257"/>
      <c r="V100" s="255"/>
      <c r="W100" s="256"/>
      <c r="X100" s="256"/>
      <c r="Y100" s="256"/>
      <c r="Z100" s="257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5"/>
      <c r="P101" s="256"/>
      <c r="Q101" s="256"/>
      <c r="R101" s="256"/>
      <c r="S101" s="256"/>
      <c r="T101" s="257"/>
      <c r="V101" s="255"/>
      <c r="W101" s="256"/>
      <c r="X101" s="256"/>
      <c r="Y101" s="256"/>
      <c r="Z101" s="257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5"/>
      <c r="P102" s="256"/>
      <c r="Q102" s="256"/>
      <c r="R102" s="256"/>
      <c r="S102" s="256"/>
      <c r="T102" s="257"/>
      <c r="V102" s="255"/>
      <c r="W102" s="256"/>
      <c r="X102" s="256"/>
      <c r="Y102" s="256"/>
      <c r="Z102" s="257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5"/>
      <c r="P103" s="256"/>
      <c r="Q103" s="256"/>
      <c r="R103" s="256"/>
      <c r="S103" s="256"/>
      <c r="T103" s="257"/>
      <c r="V103" s="255"/>
      <c r="W103" s="256"/>
      <c r="X103" s="256"/>
      <c r="Y103" s="256"/>
      <c r="Z103" s="257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5"/>
      <c r="P104" s="256"/>
      <c r="Q104" s="256"/>
      <c r="R104" s="256"/>
      <c r="S104" s="256"/>
      <c r="T104" s="257"/>
      <c r="V104" s="255"/>
      <c r="W104" s="256"/>
      <c r="X104" s="256"/>
      <c r="Y104" s="256"/>
      <c r="Z104" s="257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5"/>
      <c r="P105" s="256"/>
      <c r="Q105" s="256"/>
      <c r="R105" s="256"/>
      <c r="S105" s="256"/>
      <c r="T105" s="257"/>
      <c r="V105" s="255"/>
      <c r="W105" s="256"/>
      <c r="X105" s="256"/>
      <c r="Y105" s="256"/>
      <c r="Z105" s="257"/>
    </row>
    <row r="106" spans="7:26" ht="15.75" customHeight="1">
      <c r="O106" s="258"/>
      <c r="P106" s="259"/>
      <c r="Q106" s="259"/>
      <c r="R106" s="259"/>
      <c r="S106" s="259"/>
      <c r="T106" s="260"/>
      <c r="V106" s="258"/>
      <c r="W106" s="259"/>
      <c r="X106" s="259"/>
      <c r="Y106" s="259"/>
      <c r="Z106" s="260"/>
    </row>
    <row r="108" spans="7:26" ht="15.75" customHeight="1">
      <c r="G108" s="249" t="s">
        <v>31</v>
      </c>
      <c r="H108" s="249"/>
      <c r="I108" s="249"/>
      <c r="J108" s="249"/>
      <c r="K108" s="249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9" t="s">
        <v>90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1"/>
      <c r="K6" s="273"/>
      <c r="L6" s="273"/>
      <c r="M6" s="273"/>
      <c r="N6" s="231"/>
      <c r="O6" s="231"/>
      <c r="P6" s="273"/>
      <c r="Q6" s="274"/>
      <c r="R6" s="268"/>
      <c r="S6" s="269"/>
      <c r="T6" s="269"/>
      <c r="U6" s="270"/>
      <c r="V6" s="269"/>
      <c r="W6" s="269"/>
      <c r="X6" s="268"/>
      <c r="Y6" s="269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5"/>
      <c r="K7" s="154"/>
      <c r="L7" s="275"/>
      <c r="M7" s="275"/>
      <c r="N7" s="86"/>
      <c r="O7" s="276"/>
      <c r="P7" s="276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>
        <v>9</v>
      </c>
      <c r="G9" s="164"/>
      <c r="H9" s="166"/>
      <c r="I9" s="164"/>
      <c r="J9" s="167"/>
      <c r="K9" s="154"/>
      <c r="L9" s="277"/>
      <c r="M9" s="277"/>
      <c r="N9" s="154"/>
      <c r="O9" s="277"/>
      <c r="P9" s="277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134"/>
      <c r="H101" s="50"/>
      <c r="I101" s="50"/>
      <c r="J101" s="134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topLeftCell="G87" zoomScaleNormal="100" workbookViewId="0">
      <selection activeCell="M92" sqref="M9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79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9"/>
      <c r="K6" s="280"/>
      <c r="L6" s="280"/>
      <c r="M6" s="280"/>
      <c r="N6" s="279"/>
      <c r="O6" s="279"/>
      <c r="P6" s="280"/>
      <c r="Q6" s="280"/>
      <c r="R6" s="268"/>
      <c r="S6" s="269"/>
      <c r="T6" s="269"/>
      <c r="U6" s="270"/>
      <c r="V6" s="269"/>
      <c r="W6" s="269"/>
      <c r="X6" s="268"/>
      <c r="Y6" s="269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2" t="s">
        <v>55</v>
      </c>
      <c r="J7" s="272"/>
      <c r="K7" s="71"/>
      <c r="L7" s="271" t="s">
        <v>66</v>
      </c>
      <c r="M7" s="271"/>
      <c r="N7" s="42"/>
      <c r="O7" s="272">
        <v>2024</v>
      </c>
      <c r="P7" s="272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5" t="s">
        <v>75</v>
      </c>
      <c r="G9" s="246"/>
      <c r="H9" s="114"/>
      <c r="I9" s="247" t="s">
        <v>76</v>
      </c>
      <c r="J9" s="248"/>
      <c r="K9" s="87"/>
      <c r="L9" s="245" t="s">
        <v>77</v>
      </c>
      <c r="M9" s="278"/>
      <c r="N9" s="87"/>
      <c r="O9" s="245" t="s">
        <v>78</v>
      </c>
      <c r="P9" s="278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5" t="s">
        <v>75</v>
      </c>
      <c r="G13" s="246"/>
      <c r="H13" s="114"/>
      <c r="I13" s="247" t="s">
        <v>76</v>
      </c>
      <c r="J13" s="248"/>
      <c r="K13" s="87"/>
      <c r="L13" s="245" t="s">
        <v>77</v>
      </c>
      <c r="M13" s="278"/>
      <c r="N13" s="87"/>
      <c r="O13" s="245" t="s">
        <v>78</v>
      </c>
      <c r="P13" s="278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L87" s="101"/>
      <c r="M87" s="44" t="s">
        <v>36</v>
      </c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L88" s="102"/>
      <c r="M88" s="45">
        <f>J88/2</f>
        <v>450000</v>
      </c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L89" s="102"/>
      <c r="M89" s="45">
        <f>J89/2</f>
        <v>400000</v>
      </c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L90" s="102"/>
      <c r="M90" s="45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L91" s="102"/>
      <c r="M91" s="45">
        <f>J91/2</f>
        <v>500000</v>
      </c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L92" s="102"/>
      <c r="M92" s="45" t="s">
        <v>204</v>
      </c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L93" s="102"/>
      <c r="M93" s="45">
        <f>J93/2</f>
        <v>50000</v>
      </c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L94" s="102"/>
      <c r="M94" s="45">
        <f>J94/2</f>
        <v>50000</v>
      </c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L95" s="103"/>
      <c r="M95" s="48">
        <f>SUM(M88:M94)</f>
        <v>1450000</v>
      </c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44"/>
      <c r="H101" s="50"/>
      <c r="I101" s="50"/>
      <c r="J101" s="44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30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1" t="s">
        <v>110</v>
      </c>
      <c r="F28" s="281"/>
      <c r="G28" s="281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9" t="s">
        <v>15</v>
      </c>
      <c r="J31" s="249"/>
      <c r="K31" s="249"/>
      <c r="L31" s="249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17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18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1" t="s">
        <v>12</v>
      </c>
      <c r="J42" s="261"/>
      <c r="K42" s="261"/>
      <c r="L42" s="261"/>
      <c r="M42" s="261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7" t="s">
        <v>26</v>
      </c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9"/>
    </row>
    <row r="4" spans="2:21" ht="12.75" customHeight="1" thickBot="1">
      <c r="B4" s="285" t="s">
        <v>43</v>
      </c>
      <c r="C4" s="286"/>
      <c r="G4" s="57">
        <v>23</v>
      </c>
      <c r="H4" s="60">
        <v>123</v>
      </c>
      <c r="I4" s="61">
        <v>123</v>
      </c>
      <c r="J4" s="290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2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90">
        <v>123</v>
      </c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2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90">
        <v>123</v>
      </c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2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90">
        <v>123</v>
      </c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2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90" t="s">
        <v>47</v>
      </c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90">
        <v>4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2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90" t="s">
        <v>50</v>
      </c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2:21" ht="12.75" customHeight="1">
      <c r="B11" s="67"/>
      <c r="C11" s="68"/>
      <c r="G11" s="57"/>
      <c r="H11" s="60"/>
      <c r="I11" s="61"/>
      <c r="J11" s="290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2"/>
    </row>
    <row r="12" spans="2:21" ht="12.75" customHeight="1">
      <c r="B12" s="67"/>
      <c r="C12" s="68"/>
      <c r="G12" s="57"/>
      <c r="H12" s="60"/>
      <c r="I12" s="61"/>
      <c r="J12" s="290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2"/>
    </row>
    <row r="13" spans="2:21" ht="12.75" customHeight="1" thickBot="1">
      <c r="B13" s="69"/>
      <c r="C13" s="70"/>
      <c r="G13" s="57"/>
      <c r="H13" s="58"/>
      <c r="I13" s="61"/>
      <c r="J13" s="290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2"/>
    </row>
    <row r="14" spans="2:21">
      <c r="G14" s="60"/>
      <c r="H14" s="58"/>
      <c r="I14" s="61"/>
      <c r="J14" s="282"/>
      <c r="K14" s="283"/>
      <c r="L14" s="283"/>
      <c r="M14" s="283"/>
      <c r="N14" s="283"/>
      <c r="O14" s="283"/>
      <c r="P14" s="283"/>
      <c r="Q14" s="283"/>
      <c r="R14" s="283"/>
      <c r="S14" s="283"/>
      <c r="T14" s="283"/>
      <c r="U14" s="284"/>
    </row>
    <row r="15" spans="2:21">
      <c r="G15" s="58"/>
      <c r="H15" s="58"/>
      <c r="I15" s="61"/>
      <c r="J15" s="282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4"/>
    </row>
    <row r="16" spans="2:21">
      <c r="G16" s="58"/>
      <c r="H16" s="58"/>
      <c r="I16" s="61"/>
      <c r="J16" s="282"/>
      <c r="K16" s="283"/>
      <c r="L16" s="283"/>
      <c r="M16" s="283"/>
      <c r="N16" s="283"/>
      <c r="O16" s="283"/>
      <c r="P16" s="283"/>
      <c r="Q16" s="283"/>
      <c r="R16" s="283"/>
      <c r="S16" s="283"/>
      <c r="T16" s="283"/>
      <c r="U16" s="284"/>
    </row>
    <row r="17" spans="7:21">
      <c r="G17" s="58"/>
      <c r="H17" s="58"/>
      <c r="I17" s="61"/>
      <c r="J17" s="282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4"/>
    </row>
    <row r="18" spans="7:21">
      <c r="G18" s="58"/>
      <c r="H18" s="58"/>
      <c r="I18" s="61"/>
      <c r="J18" s="282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4"/>
    </row>
    <row r="19" spans="7:21">
      <c r="G19" s="58"/>
      <c r="H19" s="58"/>
      <c r="I19" s="61"/>
      <c r="J19" s="282"/>
      <c r="K19" s="283"/>
      <c r="L19" s="283"/>
      <c r="M19" s="283"/>
      <c r="N19" s="283"/>
      <c r="O19" s="283"/>
      <c r="P19" s="283"/>
      <c r="Q19" s="283"/>
      <c r="R19" s="283"/>
      <c r="S19" s="283"/>
      <c r="T19" s="283"/>
      <c r="U19" s="284"/>
    </row>
    <row r="20" spans="7:21">
      <c r="G20" s="58"/>
      <c r="H20" s="58"/>
      <c r="I20" s="61"/>
      <c r="J20" s="282"/>
      <c r="K20" s="283"/>
      <c r="L20" s="283"/>
      <c r="M20" s="283"/>
      <c r="N20" s="283"/>
      <c r="O20" s="283"/>
      <c r="P20" s="283"/>
      <c r="Q20" s="283"/>
      <c r="R20" s="283"/>
      <c r="S20" s="283"/>
      <c r="T20" s="283"/>
      <c r="U20" s="284"/>
    </row>
    <row r="21" spans="7:21">
      <c r="G21" s="58"/>
      <c r="H21" s="58"/>
      <c r="I21" s="61"/>
      <c r="J21" s="282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4"/>
    </row>
    <row r="22" spans="7:21">
      <c r="G22" s="58"/>
      <c r="H22" s="58"/>
      <c r="I22" s="61"/>
      <c r="J22" s="282"/>
      <c r="K22" s="283"/>
      <c r="L22" s="283"/>
      <c r="M22" s="283"/>
      <c r="N22" s="283"/>
      <c r="O22" s="283"/>
      <c r="P22" s="283"/>
      <c r="Q22" s="283"/>
      <c r="R22" s="283"/>
      <c r="S22" s="283"/>
      <c r="T22" s="283"/>
      <c r="U22" s="284"/>
    </row>
    <row r="23" spans="7:21">
      <c r="G23" s="58"/>
      <c r="H23" s="58"/>
      <c r="I23" s="61"/>
      <c r="J23" s="282"/>
      <c r="K23" s="283"/>
      <c r="L23" s="283"/>
      <c r="M23" s="283"/>
      <c r="N23" s="283"/>
      <c r="O23" s="283"/>
      <c r="P23" s="283"/>
      <c r="Q23" s="283"/>
      <c r="R23" s="283"/>
      <c r="S23" s="283"/>
      <c r="T23" s="283"/>
      <c r="U23" s="284"/>
    </row>
    <row r="24" spans="7:21">
      <c r="G24" s="58"/>
      <c r="H24" s="58"/>
      <c r="I24" s="61"/>
      <c r="J24" s="282"/>
      <c r="K24" s="283"/>
      <c r="L24" s="283"/>
      <c r="M24" s="283"/>
      <c r="N24" s="283"/>
      <c r="O24" s="283"/>
      <c r="P24" s="283"/>
      <c r="Q24" s="283"/>
      <c r="R24" s="283"/>
      <c r="S24" s="283"/>
      <c r="T24" s="283"/>
      <c r="U24" s="284"/>
    </row>
    <row r="25" spans="7:21">
      <c r="G25" s="58"/>
      <c r="H25" s="58"/>
      <c r="I25" s="61"/>
      <c r="J25" s="282"/>
      <c r="K25" s="283"/>
      <c r="L25" s="283"/>
      <c r="M25" s="283"/>
      <c r="N25" s="283"/>
      <c r="O25" s="283"/>
      <c r="P25" s="283"/>
      <c r="Q25" s="283"/>
      <c r="R25" s="283"/>
      <c r="S25" s="283"/>
      <c r="T25" s="283"/>
      <c r="U25" s="284"/>
    </row>
    <row r="26" spans="7:21">
      <c r="G26" s="58"/>
      <c r="H26" s="58"/>
      <c r="I26" s="61"/>
      <c r="J26" s="282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4"/>
    </row>
    <row r="27" spans="7:21">
      <c r="G27" s="58"/>
      <c r="H27" s="58"/>
      <c r="I27" s="61"/>
      <c r="J27" s="282"/>
      <c r="K27" s="283"/>
      <c r="L27" s="283"/>
      <c r="M27" s="283"/>
      <c r="N27" s="283"/>
      <c r="O27" s="283"/>
      <c r="P27" s="283"/>
      <c r="Q27" s="283"/>
      <c r="R27" s="283"/>
      <c r="S27" s="283"/>
      <c r="T27" s="283"/>
      <c r="U27" s="284"/>
    </row>
    <row r="28" spans="7:21">
      <c r="G28" s="58"/>
      <c r="H28" s="58"/>
      <c r="I28" s="61"/>
      <c r="J28" s="282"/>
      <c r="K28" s="283"/>
      <c r="L28" s="283"/>
      <c r="M28" s="283"/>
      <c r="N28" s="283"/>
      <c r="O28" s="283"/>
      <c r="P28" s="283"/>
      <c r="Q28" s="283"/>
      <c r="R28" s="283"/>
      <c r="S28" s="283"/>
      <c r="T28" s="283"/>
      <c r="U28" s="284"/>
    </row>
    <row r="29" spans="7:21">
      <c r="G29" s="58"/>
      <c r="H29" s="58"/>
      <c r="I29" s="61"/>
      <c r="J29" s="282"/>
      <c r="K29" s="283"/>
      <c r="L29" s="283"/>
      <c r="M29" s="283"/>
      <c r="N29" s="283"/>
      <c r="O29" s="283"/>
      <c r="P29" s="283"/>
      <c r="Q29" s="283"/>
      <c r="R29" s="283"/>
      <c r="S29" s="283"/>
      <c r="T29" s="283"/>
      <c r="U29" s="284"/>
    </row>
    <row r="30" spans="7:21">
      <c r="G30" s="58"/>
      <c r="H30" s="58"/>
      <c r="I30" s="61"/>
      <c r="J30" s="282"/>
      <c r="K30" s="283"/>
      <c r="L30" s="283"/>
      <c r="M30" s="283"/>
      <c r="N30" s="283"/>
      <c r="O30" s="283"/>
      <c r="P30" s="283"/>
      <c r="Q30" s="283"/>
      <c r="R30" s="283"/>
      <c r="S30" s="283"/>
      <c r="T30" s="283"/>
      <c r="U30" s="284"/>
    </row>
    <row r="31" spans="7:21">
      <c r="G31" s="58"/>
      <c r="H31" s="58"/>
      <c r="I31" s="61"/>
      <c r="J31" s="282"/>
      <c r="K31" s="283"/>
      <c r="L31" s="283"/>
      <c r="M31" s="283"/>
      <c r="N31" s="283"/>
      <c r="O31" s="283"/>
      <c r="P31" s="283"/>
      <c r="Q31" s="283"/>
      <c r="R31" s="283"/>
      <c r="S31" s="283"/>
      <c r="T31" s="283"/>
      <c r="U31" s="284"/>
    </row>
    <row r="32" spans="7:21">
      <c r="G32" s="58"/>
      <c r="H32" s="58"/>
      <c r="I32" s="61"/>
      <c r="J32" s="282"/>
      <c r="K32" s="283"/>
      <c r="L32" s="283"/>
      <c r="M32" s="283"/>
      <c r="N32" s="283"/>
      <c r="O32" s="283"/>
      <c r="P32" s="283"/>
      <c r="Q32" s="283"/>
      <c r="R32" s="283"/>
      <c r="S32" s="283"/>
      <c r="T32" s="283"/>
      <c r="U32" s="284"/>
    </row>
    <row r="33" spans="7:21">
      <c r="G33" s="58"/>
      <c r="H33" s="58"/>
      <c r="I33" s="61"/>
      <c r="J33" s="282"/>
      <c r="K33" s="283"/>
      <c r="L33" s="283"/>
      <c r="M33" s="283"/>
      <c r="N33" s="283"/>
      <c r="O33" s="283"/>
      <c r="P33" s="283"/>
      <c r="Q33" s="283"/>
      <c r="R33" s="283"/>
      <c r="S33" s="283"/>
      <c r="T33" s="283"/>
      <c r="U33" s="284"/>
    </row>
    <row r="34" spans="7:21">
      <c r="G34" s="58"/>
      <c r="H34" s="58"/>
      <c r="I34" s="61"/>
      <c r="J34" s="282"/>
      <c r="K34" s="283"/>
      <c r="L34" s="283"/>
      <c r="M34" s="283"/>
      <c r="N34" s="283"/>
      <c r="O34" s="283"/>
      <c r="P34" s="283"/>
      <c r="Q34" s="283"/>
      <c r="R34" s="283"/>
      <c r="S34" s="283"/>
      <c r="T34" s="283"/>
      <c r="U34" s="284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3" t="s">
        <v>17</v>
      </c>
      <c r="E3" s="294"/>
      <c r="F3" s="294"/>
      <c r="G3" s="294"/>
      <c r="H3" s="294"/>
      <c r="I3" s="294"/>
      <c r="J3" s="295"/>
      <c r="K3" s="296" t="s">
        <v>18</v>
      </c>
      <c r="L3" s="294"/>
      <c r="M3" s="294"/>
      <c r="N3" s="294"/>
      <c r="O3" s="294"/>
      <c r="P3" s="294"/>
      <c r="Q3" s="295"/>
      <c r="R3" s="297" t="s">
        <v>19</v>
      </c>
      <c r="S3" s="294"/>
      <c r="T3" s="294"/>
      <c r="U3" s="294"/>
      <c r="V3" s="294"/>
      <c r="W3" s="294"/>
      <c r="X3" s="295"/>
      <c r="Y3" s="298" t="s">
        <v>20</v>
      </c>
      <c r="Z3" s="294"/>
      <c r="AA3" s="294"/>
      <c r="AB3" s="294"/>
      <c r="AC3" s="294"/>
      <c r="AD3" s="294"/>
      <c r="AE3" s="295"/>
      <c r="AF3" s="299"/>
      <c r="AG3" s="294"/>
      <c r="AH3" s="30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2024-11-18T07:31:54Z</dcterms:modified>
</cp:coreProperties>
</file>