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DAW\Documents\GitHub\pengeluaran\Pengeluaran\"/>
    </mc:Choice>
  </mc:AlternateContent>
  <bookViews>
    <workbookView xWindow="0" yWindow="0" windowWidth="21570" windowHeight="7995" tabRatio="585" activeTab="2"/>
  </bookViews>
  <sheets>
    <sheet name="MASTER DATA" sheetId="10" r:id="rId1"/>
    <sheet name="INPUT TRANSAKSI" sheetId="6" r:id="rId2"/>
    <sheet name="DATA PENGELUARAN" sheetId="9" r:id="rId3"/>
    <sheet name="DATA TRANSAKSI" sheetId="7" r:id="rId4"/>
    <sheet name="DASHBOARD BULANAN" sheetId="1" r:id="rId5"/>
    <sheet name="PENGATURAN" sheetId="5" r:id="rId6"/>
    <sheet name="INPUT" sheetId="4" r:id="rId7"/>
    <sheet name="Sheet2" sheetId="3" r:id="rId8"/>
    <sheet name="Sheet3" sheetId="8" r:id="rId9"/>
  </sheets>
  <definedNames>
    <definedName name="_xlnm._FilterDatabase" localSheetId="2" hidden="1">'DATA PENGELUARAN'!$F$9:$K$11</definedName>
    <definedName name="_xlnm._FilterDatabase" localSheetId="0" hidden="1">'MASTER DATA'!$F$9:$K$11</definedName>
  </definedNames>
  <calcPr calcId="162913"/>
</workbook>
</file>

<file path=xl/calcChain.xml><?xml version="1.0" encoding="utf-8"?>
<calcChain xmlns="http://schemas.openxmlformats.org/spreadsheetml/2006/main">
  <c r="S17" i="6" l="1"/>
  <c r="B39" i="5"/>
  <c r="L8" i="6" s="1"/>
  <c r="F43" i="5"/>
  <c r="F41" i="5"/>
  <c r="F37" i="5"/>
  <c r="F32" i="5"/>
  <c r="E19" i="5" l="1"/>
  <c r="G8" i="6" l="1"/>
  <c r="K110" i="9"/>
  <c r="L105" i="9"/>
  <c r="K121" i="9" s="1"/>
  <c r="K95" i="9"/>
  <c r="L94" i="9"/>
  <c r="L93" i="9"/>
  <c r="L92" i="9"/>
  <c r="L91" i="9"/>
  <c r="L90" i="9"/>
  <c r="L89" i="9"/>
  <c r="L88" i="9"/>
  <c r="L95" i="9" s="1"/>
  <c r="G19" i="6" l="1"/>
  <c r="M50" i="5"/>
  <c r="L40" i="5"/>
  <c r="M39" i="5"/>
  <c r="M38" i="5"/>
  <c r="M40" i="5" s="1"/>
  <c r="M37" i="5"/>
  <c r="M36" i="5"/>
  <c r="M35" i="5"/>
  <c r="M34" i="5"/>
  <c r="M33" i="5"/>
  <c r="J110" i="7" l="1"/>
  <c r="K105" i="7"/>
  <c r="J121" i="7" s="1"/>
  <c r="K95" i="7"/>
  <c r="J95" i="7"/>
  <c r="K94" i="7"/>
  <c r="K93" i="7"/>
  <c r="K92" i="7"/>
  <c r="K91" i="7"/>
  <c r="K90" i="7"/>
  <c r="K89" i="7"/>
  <c r="K88" i="7"/>
  <c r="J110" i="6" l="1"/>
  <c r="K105" i="6"/>
  <c r="J121" i="6" s="1"/>
  <c r="J95" i="6"/>
  <c r="K94" i="6"/>
  <c r="K93" i="6"/>
  <c r="K92" i="6"/>
  <c r="K91" i="6"/>
  <c r="K90" i="6"/>
  <c r="K89" i="6"/>
  <c r="K88" i="6"/>
  <c r="K95" i="6" l="1"/>
  <c r="J122" i="6"/>
  <c r="K89" i="1"/>
  <c r="K90" i="1"/>
  <c r="K91" i="1"/>
  <c r="K92" i="1"/>
  <c r="K93" i="1"/>
  <c r="K94" i="1"/>
  <c r="K88" i="1" l="1"/>
  <c r="K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<sst xmlns="http://schemas.openxmlformats.org/spreadsheetml/2006/main" count="523" uniqueCount="121">
  <si>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</si>
  <si>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</si>
  <si>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</si>
  <si>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</si>
  <si>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</si>
  <si>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</si>
  <si>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</si>
  <si>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</si>
  <si>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</si>
  <si>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</si>
  <si>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</si>
  <si>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</si>
  <si>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</si>
  <si>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</si>
  <si>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</si>
  <si>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</si>
  <si>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</si>
  <si>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</si>
  <si>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</si>
  <si>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</si>
  <si>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</si>
  <si>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</si>
  <si>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</si>
  <si>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</si>
  <si>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</si>
  <si>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</si>
  <si>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</si>
  <si>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</si>
  <si>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</si>
  <si>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</si>
  <si>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</si>
  <si>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</si>
  <si>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</si>
  <si>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</si>
  <si>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</si>
  <si>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</si>
  <si>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</si>
  <si>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</si>
  <si>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</si>
  <si>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</si>
  <si>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</si>
  <si>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</si>
  <si>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</si>
  <si>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</si>
  <si>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</si>
  <si>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</si>
  <si>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</si>
  <si>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</si>
  <si>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</si>
  <si>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</si>
  <si>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</si>
  <si>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</si>
  <si>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</si>
  <si>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</si>
  <si>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</si>
  <si>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</si>
  <si>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</si>
  <si>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</si>
  <si>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</si>
  <si>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</si>
  <si>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</si>
  <si>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</si>
  <si>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</si>
  <si>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</si>
  <si>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</si>
  <si>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</si>
  <si>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</si>
  <si>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</si>
  <si>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</si>
  <si>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</si>
  <si>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</si>
  <si>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</si>
  <si>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</si>
  <si>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</si>
  <si>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</si>
  <si>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</si>
  <si>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</si>
  <si>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</si>
  <si>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</si>
  <si>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</si>
  <si>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</si>
  <si>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</si>
  <si>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</si>
  <si>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</si>
  <si>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</si>
  <si>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</si>
  <si>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</si>
  <si>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</si>
  <si>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</si>
  <si>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</si>
  <si>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</si>
  <si>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</si>
  <si>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</si>
  <si>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</si>
  <si>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</si>
  <si>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</si>
  <si>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Input  Pengeluaran</t>
  </si>
  <si>
    <t>DATA PENGELUARAN</t>
  </si>
  <si>
    <t>Naik gocar</t>
  </si>
  <si>
    <t>Penerima</t>
  </si>
  <si>
    <t>Alfa</t>
  </si>
  <si>
    <t>Marugame Udon di Mall</t>
  </si>
  <si>
    <t>Makan</t>
  </si>
  <si>
    <t>BULAN SEKARANG</t>
  </si>
  <si>
    <t>beli mie</t>
  </si>
  <si>
    <t>Mama</t>
  </si>
  <si>
    <t>COBA</t>
  </si>
  <si>
    <t>October</t>
  </si>
  <si>
    <t>TUNJANGAN HARI RAYA</t>
  </si>
  <si>
    <t>GAJI HARI RYAA</t>
  </si>
  <si>
    <t>TOTAL THR HARI RAYA dan GAJI 13</t>
  </si>
  <si>
    <t>GAJI 13</t>
  </si>
  <si>
    <t>TABUNGNA RUDINI GAJI 1jt</t>
  </si>
  <si>
    <t>TANGGAL SEKARANG</t>
  </si>
  <si>
    <t xml:space="preserve">BAYI UTAMA </t>
  </si>
  <si>
    <t>ZAKAT, INFAQ, SADAQOH</t>
  </si>
  <si>
    <t>BERHUTANG</t>
  </si>
  <si>
    <t>Data Pengeluaran</t>
  </si>
  <si>
    <t xml:space="preserve">Ayam 3 </t>
  </si>
  <si>
    <t>Makan Pokok</t>
  </si>
  <si>
    <t>Tukang Ayam Pasar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</si>
</sst>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-&quot;Rp&quot;* #,##0_-;\-&quot;Rp&quot;* #,##0_-;_-&quot;Rp&quot;* &quot;-&quot;_-;_-@_-"/>
    <numFmt numFmtId="41" formatCode="_-* #,##0_-;\-* #,##0_-;_-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29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263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4" xfId="0" applyFont="1" applyFill="1" applyBorder="1" applyAlignment="1"/>
    <xf numFmtId="9" fontId="19" fillId="14" borderId="54" xfId="0" applyNumberFormat="1" applyFont="1" applyFill="1" applyBorder="1" applyAlignment="1"/>
    <xf numFmtId="0" fontId="21" fillId="14" borderId="57" xfId="0" applyFont="1" applyFill="1" applyBorder="1" applyAlignment="1">
      <alignment horizontal="right"/>
    </xf>
    <xf numFmtId="0" fontId="20" fillId="18" borderId="54" xfId="0" applyFont="1" applyFill="1" applyBorder="1" applyAlignment="1"/>
    <xf numFmtId="0" fontId="21" fillId="18" borderId="57" xfId="0" applyFont="1" applyFill="1" applyBorder="1" applyAlignment="1">
      <alignment horizontal="right"/>
    </xf>
    <xf numFmtId="9" fontId="19" fillId="18" borderId="54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8" xfId="0" applyFont="1" applyFill="1" applyBorder="1" applyAlignment="1">
      <alignment horizontal="right"/>
    </xf>
    <xf numFmtId="0" fontId="18" fillId="18" borderId="59" xfId="0" applyFont="1" applyFill="1" applyBorder="1" applyAlignment="1">
      <alignment horizontal="right"/>
    </xf>
    <xf numFmtId="0" fontId="18" fillId="14" borderId="59" xfId="0" applyFont="1" applyFill="1" applyBorder="1" applyAlignment="1">
      <alignment horizontal="right"/>
    </xf>
    <xf numFmtId="0" fontId="3" fillId="17" borderId="0" xfId="0" applyFont="1" applyFill="1" applyBorder="1"/>
    <xf numFmtId="0" fontId="3" fillId="17" borderId="55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9" fontId="19" fillId="11" borderId="0" xfId="0" applyNumberFormat="1" applyFont="1" applyFill="1" applyBorder="1" applyAlignment="1"/>
    <xf numFmtId="0" fontId="3" fillId="17" borderId="60" xfId="0" applyFont="1" applyFill="1" applyBorder="1" applyAlignment="1"/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22" fillId="22" borderId="65" xfId="0" applyFont="1" applyFill="1" applyBorder="1" applyAlignment="1">
      <alignment vertical="center"/>
    </xf>
    <xf numFmtId="0" fontId="26" fillId="22" borderId="65" xfId="0" applyFont="1" applyFill="1" applyBorder="1" applyAlignment="1">
      <alignment horizontal="left" vertical="center"/>
    </xf>
    <xf numFmtId="0" fontId="13" fillId="21" borderId="63" xfId="1" applyFill="1" applyBorder="1" applyAlignment="1"/>
    <xf numFmtId="0" fontId="13" fillId="17" borderId="66" xfId="1" applyFill="1" applyBorder="1" applyAlignment="1"/>
    <xf numFmtId="0" fontId="3" fillId="0" borderId="64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22" fillId="17" borderId="64" xfId="0" applyFont="1" applyFill="1" applyBorder="1" applyAlignment="1">
      <alignment vertical="center"/>
    </xf>
    <xf numFmtId="0" fontId="3" fillId="17" borderId="67" xfId="0" applyFont="1" applyFill="1" applyBorder="1" applyAlignment="1"/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5" xfId="0" applyNumberFormat="1" applyFont="1" applyFill="1" applyBorder="1" applyAlignment="1">
      <alignment horizontal="center" vertical="center"/>
    </xf>
    <xf numFmtId="165" fontId="21" fillId="22" borderId="65" xfId="0" applyNumberFormat="1" applyFont="1" applyFill="1" applyBorder="1" applyAlignment="1">
      <alignment horizontal="right"/>
    </xf>
    <xf numFmtId="0" fontId="19" fillId="22" borderId="65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3" xfId="0" applyFont="1" applyFill="1" applyBorder="1" applyAlignment="1">
      <alignment horizontal="left" vertical="center"/>
    </xf>
    <xf numFmtId="0" fontId="26" fillId="22" borderId="74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3" xfId="1" applyFill="1" applyBorder="1" applyAlignment="1"/>
    <xf numFmtId="0" fontId="3" fillId="17" borderId="63" xfId="0" applyFont="1" applyFill="1" applyBorder="1" applyAlignment="1"/>
    <xf numFmtId="0" fontId="3" fillId="0" borderId="64" xfId="0" applyFont="1" applyBorder="1" applyAlignment="1"/>
    <xf numFmtId="0" fontId="3" fillId="0" borderId="68" xfId="0" applyFont="1" applyBorder="1" applyAlignment="1"/>
    <xf numFmtId="0" fontId="3" fillId="0" borderId="69" xfId="0" applyFont="1" applyBorder="1" applyAlignment="1"/>
    <xf numFmtId="0" fontId="28" fillId="22" borderId="65" xfId="0" applyFont="1" applyFill="1" applyBorder="1" applyAlignment="1">
      <alignment horizontal="center" vertical="center"/>
    </xf>
    <xf numFmtId="166" fontId="28" fillId="22" borderId="73" xfId="0" applyNumberFormat="1" applyFont="1" applyFill="1" applyBorder="1" applyAlignment="1">
      <alignment horizontal="left" vertical="center"/>
    </xf>
    <xf numFmtId="42" fontId="28" fillId="22" borderId="65" xfId="0" applyNumberFormat="1" applyFont="1" applyFill="1" applyBorder="1" applyAlignment="1">
      <alignment horizontal="left" vertical="center"/>
    </xf>
    <xf numFmtId="0" fontId="28" fillId="22" borderId="74" xfId="0" applyFont="1" applyFill="1" applyBorder="1" applyAlignment="1">
      <alignment horizontal="left" vertical="center"/>
    </xf>
    <xf numFmtId="165" fontId="28" fillId="22" borderId="65" xfId="0" applyNumberFormat="1" applyFont="1" applyFill="1" applyBorder="1" applyAlignment="1">
      <alignment horizontal="right"/>
    </xf>
    <xf numFmtId="165" fontId="28" fillId="22" borderId="75" xfId="0" applyNumberFormat="1" applyFont="1" applyFill="1" applyBorder="1" applyAlignment="1">
      <alignment horizontal="right"/>
    </xf>
    <xf numFmtId="42" fontId="28" fillId="22" borderId="75" xfId="0" applyNumberFormat="1" applyFont="1" applyFill="1" applyBorder="1" applyAlignment="1">
      <alignment horizontal="left" vertical="center"/>
    </xf>
    <xf numFmtId="0" fontId="28" fillId="22" borderId="76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8" fillId="22" borderId="77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165" fontId="28" fillId="22" borderId="65" xfId="0" applyNumberFormat="1" applyFont="1" applyFill="1" applyBorder="1" applyAlignment="1">
      <alignment horizontal="center"/>
    </xf>
    <xf numFmtId="166" fontId="28" fillId="22" borderId="73" xfId="0" applyNumberFormat="1" applyFont="1" applyFill="1" applyBorder="1" applyAlignment="1">
      <alignment horizontal="center" vertical="center"/>
    </xf>
    <xf numFmtId="42" fontId="28" fillId="22" borderId="65" xfId="0" applyNumberFormat="1" applyFont="1" applyFill="1" applyBorder="1" applyAlignment="1">
      <alignment horizontal="center" vertical="center"/>
    </xf>
    <xf numFmtId="0" fontId="28" fillId="22" borderId="74" xfId="0" applyFont="1" applyFill="1" applyBorder="1" applyAlignment="1">
      <alignment horizontal="center" vertical="center"/>
    </xf>
    <xf numFmtId="165" fontId="28" fillId="22" borderId="77" xfId="0" applyNumberFormat="1" applyFont="1" applyFill="1" applyBorder="1" applyAlignment="1">
      <alignment horizontal="center"/>
    </xf>
    <xf numFmtId="0" fontId="22" fillId="22" borderId="65" xfId="0" applyFont="1" applyFill="1" applyBorder="1" applyAlignment="1">
      <alignment horizontal="center" vertical="center"/>
    </xf>
    <xf numFmtId="0" fontId="22" fillId="22" borderId="77" xfId="0" applyFont="1" applyFill="1" applyBorder="1" applyAlignment="1">
      <alignment horizontal="center" vertical="center"/>
    </xf>
    <xf numFmtId="165" fontId="28" fillId="22" borderId="75" xfId="0" applyNumberFormat="1" applyFont="1" applyFill="1" applyBorder="1" applyAlignment="1">
      <alignment horizontal="center"/>
    </xf>
    <xf numFmtId="42" fontId="28" fillId="22" borderId="75" xfId="0" applyNumberFormat="1" applyFont="1" applyFill="1" applyBorder="1" applyAlignment="1">
      <alignment horizontal="center" vertical="center"/>
    </xf>
    <xf numFmtId="165" fontId="28" fillId="22" borderId="78" xfId="0" applyNumberFormat="1" applyFont="1" applyFill="1" applyBorder="1" applyAlignment="1">
      <alignment horizontal="center"/>
    </xf>
    <xf numFmtId="0" fontId="28" fillId="22" borderId="7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165" fontId="28" fillId="22" borderId="79" xfId="0" applyNumberFormat="1" applyFont="1" applyFill="1" applyBorder="1" applyAlignment="1">
      <alignment horizontal="center"/>
    </xf>
    <xf numFmtId="0" fontId="7" fillId="12" borderId="61" xfId="0" applyFont="1" applyFill="1" applyBorder="1" applyAlignment="1"/>
    <xf numFmtId="41" fontId="21" fillId="18" borderId="57" xfId="0" applyNumberFormat="1" applyFont="1" applyFill="1" applyBorder="1" applyAlignment="1">
      <alignment horizontal="right"/>
    </xf>
    <xf numFmtId="0" fontId="15" fillId="0" borderId="1" xfId="0" applyFont="1" applyBorder="1" applyAlignment="1"/>
    <xf numFmtId="3" fontId="0" fillId="0" borderId="1" xfId="0" applyNumberFormat="1" applyFont="1" applyBorder="1" applyAlignment="1"/>
    <xf numFmtId="0" fontId="14" fillId="10" borderId="0" xfId="0" applyFont="1" applyFill="1" applyAlignment="1">
      <alignment horizontal="center" vertical="center" wrapText="1"/>
    </xf>
    <xf numFmtId="0" fontId="7" fillId="21" borderId="63" xfId="0" applyFont="1" applyFill="1" applyBorder="1" applyAlignment="1">
      <alignment horizontal="center"/>
    </xf>
    <xf numFmtId="0" fontId="7" fillId="21" borderId="66" xfId="0" applyFont="1" applyFill="1" applyBorder="1" applyAlignment="1">
      <alignment horizontal="center"/>
    </xf>
    <xf numFmtId="0" fontId="23" fillId="20" borderId="0" xfId="0" applyFont="1" applyFill="1" applyBorder="1" applyAlignment="1">
      <alignment horizontal="center" vertical="center"/>
    </xf>
    <xf numFmtId="0" fontId="16" fillId="15" borderId="70" xfId="0" applyFont="1" applyFill="1" applyBorder="1" applyAlignment="1">
      <alignment horizontal="center" vertical="center"/>
    </xf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22" fillId="15" borderId="54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2" fillId="19" borderId="54" xfId="0" applyFont="1" applyFill="1" applyBorder="1" applyAlignment="1">
      <alignment horizontal="center" vertical="center"/>
    </xf>
    <xf numFmtId="0" fontId="22" fillId="19" borderId="56" xfId="0" applyFont="1" applyFill="1" applyBorder="1" applyAlignment="1">
      <alignment horizontal="center" vertical="center"/>
    </xf>
    <xf numFmtId="0" fontId="22" fillId="15" borderId="56" xfId="0" applyFont="1" applyFill="1" applyBorder="1" applyAlignment="1">
      <alignment horizontal="center" vertical="center"/>
    </xf>
    <xf numFmtId="0" fontId="3" fillId="17" borderId="63" xfId="0" applyFont="1" applyFill="1" applyBorder="1" applyAlignment="1"/>
    <xf numFmtId="0" fontId="3" fillId="17" borderId="66" xfId="0" applyFont="1" applyFill="1" applyBorder="1" applyAlignment="1"/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/>
    </xf>
    <xf numFmtId="0" fontId="26" fillId="16" borderId="0" xfId="0" applyFont="1" applyFill="1" applyBorder="1" applyAlignment="1">
      <alignment horizontal="center" vertical="center"/>
    </xf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0" fillId="0" borderId="0" xfId="0" applyFont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9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0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66675</xdr:rowOff>
        </xdr:from>
        <xdr:to>
          <xdr:col>7</xdr:col>
          <xdr:colOff>228600</xdr:colOff>
          <xdr:row>14</xdr:row>
          <xdr:rowOff>19050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85725</xdr:rowOff>
        </xdr:from>
        <xdr:to>
          <xdr:col>12</xdr:col>
          <xdr:colOff>238125</xdr:colOff>
          <xdr:row>15</xdr:row>
          <xdr:rowOff>85725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4</xdr:col>
      <xdr:colOff>154214</xdr:colOff>
      <xdr:row>33</xdr:row>
      <xdr:rowOff>108858</xdr:rowOff>
    </xdr:from>
    <xdr:to>
      <xdr:col>6</xdr:col>
      <xdr:colOff>1475469</xdr:colOff>
      <xdr:row>46</xdr:row>
      <xdr:rowOff>172358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38100</xdr:rowOff>
        </xdr:from>
        <xdr:to>
          <xdr:col>3</xdr:col>
          <xdr:colOff>104775</xdr:colOff>
          <xdr:row>12</xdr:row>
          <xdr:rowOff>104775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outlinePr summaryBelow="0" summaryRight="0"/>
  </sheetPr>
  <dimension ref="A1:AC524"/>
  <sheetViews>
    <sheetView topLeftCell="G1" zoomScale="70" zoomScaleNormal="70" workbookViewId="0">
      <selection activeCell="N9" sqref="N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33.28515625" style="41" customWidth="1"/>
    <col min="15" max="15" width="35.85546875" style="41" bestFit="1" customWidth="1"/>
    <col min="16" max="16" width="16.140625" style="41" bestFit="1" customWidth="1"/>
    <col min="17" max="17" width="23.7109375" style="41" bestFit="1" customWidth="1"/>
    <col min="18" max="18" width="10.5703125" style="41" bestFit="1" customWidth="1"/>
    <col min="19" max="19" width="28.5703125" style="41" bestFit="1" customWidth="1"/>
    <col min="20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178"/>
      <c r="T1" s="178"/>
      <c r="U1" s="178"/>
      <c r="V1" s="178"/>
      <c r="W1" s="178"/>
      <c r="X1" s="178"/>
      <c r="Y1" s="178"/>
      <c r="Z1" s="178"/>
      <c r="AA1" s="178"/>
      <c r="AB1" s="80"/>
    </row>
    <row r="2" spans="1:28" ht="19.5" customHeight="1">
      <c r="A2" s="97"/>
      <c r="B2" s="97"/>
      <c r="C2" s="97" t="s">
        <v>71</v>
      </c>
      <c r="D2" s="79"/>
      <c r="E2" s="202" t="s">
        <v>97</v>
      </c>
      <c r="F2" s="202"/>
      <c r="G2" s="202"/>
      <c r="H2" s="202"/>
      <c r="I2" s="202"/>
      <c r="J2" s="202"/>
      <c r="K2" s="202"/>
      <c r="L2" s="113"/>
      <c r="M2" s="113"/>
      <c r="N2" s="113"/>
      <c r="O2" s="113"/>
      <c r="P2" s="113"/>
      <c r="Q2" s="113"/>
      <c r="R2" s="179"/>
      <c r="S2" s="178"/>
      <c r="T2" s="178"/>
      <c r="U2" s="178"/>
      <c r="V2" s="178"/>
      <c r="W2" s="178"/>
      <c r="X2" s="178"/>
      <c r="Y2" s="178"/>
      <c r="Z2" s="178"/>
      <c r="AA2" s="178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179"/>
      <c r="S3" s="178"/>
      <c r="T3" s="178"/>
      <c r="U3" s="178"/>
      <c r="V3" s="178"/>
      <c r="W3" s="178"/>
      <c r="X3" s="178"/>
      <c r="Y3" s="178"/>
      <c r="Z3" s="178"/>
      <c r="AA3" s="178"/>
      <c r="AB3" s="80"/>
    </row>
    <row r="4" spans="1:28" ht="15.95" customHeight="1">
      <c r="A4" s="62"/>
      <c r="B4" s="199" t="s">
        <v>72</v>
      </c>
      <c r="C4" s="199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179"/>
      <c r="S4" s="178"/>
      <c r="T4" s="178"/>
      <c r="U4" s="178"/>
      <c r="V4" s="178"/>
      <c r="W4" s="178"/>
      <c r="X4" s="178"/>
      <c r="Y4" s="178"/>
      <c r="Z4" s="178"/>
      <c r="AA4" s="178"/>
      <c r="AB4" s="80"/>
    </row>
    <row r="5" spans="1:28" ht="15.75" customHeight="1">
      <c r="A5" s="62"/>
      <c r="B5" s="199"/>
      <c r="C5" s="199"/>
      <c r="D5" s="79"/>
      <c r="E5" s="79"/>
      <c r="F5" s="79"/>
      <c r="G5" s="79"/>
      <c r="H5" s="178"/>
      <c r="I5" s="178"/>
      <c r="J5" s="178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80"/>
      <c r="G6" s="125"/>
      <c r="H6" s="159"/>
      <c r="I6" s="159"/>
      <c r="J6" s="159"/>
      <c r="K6" s="200"/>
      <c r="L6" s="200"/>
      <c r="M6" s="200"/>
      <c r="N6" s="200"/>
      <c r="O6" s="200"/>
      <c r="P6" s="200"/>
      <c r="Q6" s="200"/>
      <c r="R6" s="201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03" t="s">
        <v>42</v>
      </c>
      <c r="G7" s="204"/>
      <c r="H7" s="204"/>
      <c r="I7" s="204"/>
      <c r="J7" s="204"/>
      <c r="K7" s="205"/>
      <c r="L7" s="181"/>
      <c r="M7" s="181"/>
      <c r="N7" s="203" t="s">
        <v>117</v>
      </c>
      <c r="O7" s="204"/>
      <c r="P7" s="204"/>
      <c r="Q7" s="204"/>
      <c r="R7" s="204"/>
      <c r="S7" s="205"/>
      <c r="T7" s="80"/>
      <c r="U7" s="80"/>
      <c r="V7" s="80"/>
      <c r="W7" s="80"/>
      <c r="X7" s="80"/>
      <c r="Y7" s="80"/>
      <c r="Z7" s="80"/>
      <c r="AA7" s="178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81"/>
      <c r="M8" s="181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178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181"/>
      <c r="M9" s="181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178"/>
      <c r="U9" s="178"/>
      <c r="V9" s="178"/>
      <c r="W9" s="178"/>
      <c r="X9" s="178"/>
      <c r="Y9" s="178"/>
      <c r="Z9" s="178"/>
      <c r="AA9" s="178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181"/>
      <c r="M10" s="146"/>
      <c r="N10" s="183"/>
      <c r="O10" s="182"/>
      <c r="P10" s="184"/>
      <c r="Q10" s="182"/>
      <c r="R10" s="186"/>
      <c r="S10" s="185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181"/>
      <c r="M11" s="148"/>
      <c r="N11" s="183"/>
      <c r="O11" s="164"/>
      <c r="P11" s="184"/>
      <c r="Q11" s="164"/>
      <c r="R11" s="177"/>
      <c r="S11" s="185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81"/>
      <c r="M12" s="181"/>
      <c r="N12" s="183"/>
      <c r="O12" s="187"/>
      <c r="P12" s="184"/>
      <c r="Q12" s="187"/>
      <c r="R12" s="188"/>
      <c r="S12" s="185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81"/>
      <c r="M13" s="181"/>
      <c r="N13" s="183"/>
      <c r="O13" s="164"/>
      <c r="P13" s="184"/>
      <c r="Q13" s="164"/>
      <c r="R13" s="177"/>
      <c r="S13" s="185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79"/>
      <c r="M14" s="179"/>
      <c r="N14" s="183"/>
      <c r="O14" s="182"/>
      <c r="P14" s="184"/>
      <c r="Q14" s="182"/>
      <c r="R14" s="186"/>
      <c r="S14" s="18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79"/>
      <c r="M15" s="179"/>
      <c r="N15" s="183"/>
      <c r="O15" s="164"/>
      <c r="P15" s="184"/>
      <c r="Q15" s="164"/>
      <c r="R15" s="177"/>
      <c r="S15" s="18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79"/>
      <c r="M16" s="179"/>
      <c r="N16" s="183"/>
      <c r="O16" s="187"/>
      <c r="P16" s="184"/>
      <c r="Q16" s="187"/>
      <c r="R16" s="188"/>
      <c r="S16" s="185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79"/>
      <c r="M17" s="179"/>
      <c r="N17" s="183"/>
      <c r="O17" s="164"/>
      <c r="P17" s="184"/>
      <c r="Q17" s="164"/>
      <c r="R17" s="177"/>
      <c r="S17" s="185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79"/>
      <c r="M18" s="179"/>
      <c r="N18" s="183"/>
      <c r="O18" s="182"/>
      <c r="P18" s="184"/>
      <c r="Q18" s="182"/>
      <c r="R18" s="186"/>
      <c r="S18" s="185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79"/>
      <c r="M19" s="179"/>
      <c r="N19" s="183"/>
      <c r="O19" s="164"/>
      <c r="P19" s="184"/>
      <c r="Q19" s="164"/>
      <c r="R19" s="177"/>
      <c r="S19" s="185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79"/>
      <c r="M20" s="179"/>
      <c r="N20" s="183"/>
      <c r="O20" s="187"/>
      <c r="P20" s="184"/>
      <c r="Q20" s="187"/>
      <c r="R20" s="188"/>
      <c r="S20" s="185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79"/>
      <c r="M21" s="179"/>
      <c r="N21" s="183"/>
      <c r="O21" s="164"/>
      <c r="P21" s="184"/>
      <c r="Q21" s="164"/>
      <c r="R21" s="177"/>
      <c r="S21" s="185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79"/>
      <c r="M22" s="179"/>
      <c r="N22" s="183"/>
      <c r="O22" s="182"/>
      <c r="P22" s="184"/>
      <c r="Q22" s="182"/>
      <c r="R22" s="186"/>
      <c r="S22" s="185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79"/>
      <c r="M23" s="179"/>
      <c r="N23" s="183"/>
      <c r="O23" s="164"/>
      <c r="P23" s="184"/>
      <c r="Q23" s="164"/>
      <c r="R23" s="177"/>
      <c r="S23" s="185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79"/>
      <c r="M24" s="179"/>
      <c r="N24" s="183"/>
      <c r="O24" s="187"/>
      <c r="P24" s="184"/>
      <c r="Q24" s="187"/>
      <c r="R24" s="188"/>
      <c r="S24" s="185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79"/>
      <c r="M25" s="179"/>
      <c r="N25" s="183"/>
      <c r="O25" s="187"/>
      <c r="P25" s="184"/>
      <c r="Q25" s="187"/>
      <c r="R25" s="188"/>
      <c r="S25" s="185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79"/>
      <c r="M26" s="179"/>
      <c r="N26" s="183"/>
      <c r="O26" s="164"/>
      <c r="P26" s="184"/>
      <c r="Q26" s="164"/>
      <c r="R26" s="177"/>
      <c r="S26" s="185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79"/>
      <c r="M27" s="179"/>
      <c r="N27" s="183"/>
      <c r="O27" s="182"/>
      <c r="P27" s="184"/>
      <c r="Q27" s="182"/>
      <c r="R27" s="186"/>
      <c r="S27" s="185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79"/>
      <c r="M28" s="179"/>
      <c r="N28" s="183"/>
      <c r="O28" s="164"/>
      <c r="P28" s="184"/>
      <c r="Q28" s="164"/>
      <c r="R28" s="177"/>
      <c r="S28" s="18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79"/>
      <c r="M29" s="179"/>
      <c r="N29" s="183"/>
      <c r="O29" s="187"/>
      <c r="P29" s="184"/>
      <c r="Q29" s="187"/>
      <c r="R29" s="188"/>
      <c r="S29" s="18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79"/>
      <c r="M30" s="179"/>
      <c r="N30" s="183"/>
      <c r="O30" s="164"/>
      <c r="P30" s="184"/>
      <c r="Q30" s="164"/>
      <c r="R30" s="177"/>
      <c r="S30" s="18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79"/>
      <c r="M31" s="179"/>
      <c r="N31" s="183"/>
      <c r="O31" s="187"/>
      <c r="P31" s="184"/>
      <c r="Q31" s="187"/>
      <c r="R31" s="188"/>
      <c r="S31" s="18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79"/>
      <c r="M32" s="179"/>
      <c r="N32" s="183"/>
      <c r="O32" s="187"/>
      <c r="P32" s="184"/>
      <c r="Q32" s="187"/>
      <c r="R32" s="188"/>
      <c r="S32" s="18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179"/>
      <c r="M33" s="179"/>
      <c r="N33" s="183"/>
      <c r="O33" s="164"/>
      <c r="P33" s="184"/>
      <c r="Q33" s="164"/>
      <c r="R33" s="177"/>
      <c r="S33" s="18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179"/>
      <c r="M34" s="179"/>
      <c r="N34" s="183"/>
      <c r="O34" s="182"/>
      <c r="P34" s="184"/>
      <c r="Q34" s="182"/>
      <c r="R34" s="186"/>
      <c r="S34" s="18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179"/>
      <c r="M35" s="179"/>
      <c r="N35" s="183"/>
      <c r="O35" s="164"/>
      <c r="P35" s="184"/>
      <c r="Q35" s="164"/>
      <c r="R35" s="177"/>
      <c r="S35" s="18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179"/>
      <c r="M36" s="179"/>
      <c r="N36" s="183"/>
      <c r="O36" s="187"/>
      <c r="P36" s="184"/>
      <c r="Q36" s="187"/>
      <c r="R36" s="188"/>
      <c r="S36" s="18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179"/>
      <c r="M37" s="179"/>
      <c r="N37" s="183"/>
      <c r="O37" s="164"/>
      <c r="P37" s="184"/>
      <c r="Q37" s="164"/>
      <c r="R37" s="177"/>
      <c r="S37" s="18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179"/>
      <c r="M38" s="179"/>
      <c r="N38" s="183"/>
      <c r="O38" s="187"/>
      <c r="P38" s="184"/>
      <c r="Q38" s="187"/>
      <c r="R38" s="188"/>
      <c r="S38" s="18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181"/>
      <c r="M39" s="181"/>
      <c r="N39" s="183"/>
      <c r="O39" s="164"/>
      <c r="P39" s="184"/>
      <c r="Q39" s="164"/>
      <c r="R39" s="177"/>
      <c r="S39" s="185"/>
      <c r="T39" s="181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181"/>
      <c r="M40" s="181"/>
      <c r="N40" s="183"/>
      <c r="O40" s="182"/>
      <c r="P40" s="184"/>
      <c r="Q40" s="182"/>
      <c r="R40" s="186"/>
      <c r="S40" s="185"/>
      <c r="T40" s="181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181"/>
      <c r="M41" s="181"/>
      <c r="N41" s="183"/>
      <c r="O41" s="164"/>
      <c r="P41" s="184"/>
      <c r="Q41" s="164"/>
      <c r="R41" s="177"/>
      <c r="S41" s="185"/>
      <c r="T41" s="181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181"/>
      <c r="M42" s="181"/>
      <c r="N42" s="183"/>
      <c r="O42" s="187"/>
      <c r="P42" s="184"/>
      <c r="Q42" s="187"/>
      <c r="R42" s="188"/>
      <c r="S42" s="185"/>
      <c r="T42" s="181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181"/>
      <c r="M43" s="181"/>
      <c r="N43" s="183"/>
      <c r="O43" s="164"/>
      <c r="P43" s="184"/>
      <c r="Q43" s="164"/>
      <c r="R43" s="177"/>
      <c r="S43" s="185"/>
      <c r="T43" s="181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181"/>
      <c r="M44" s="181"/>
      <c r="N44" s="183"/>
      <c r="O44" s="187"/>
      <c r="P44" s="184"/>
      <c r="Q44" s="187"/>
      <c r="R44" s="188"/>
      <c r="S44" s="185"/>
      <c r="T44" s="181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181"/>
      <c r="M45" s="181"/>
      <c r="N45" s="183"/>
      <c r="O45" s="164"/>
      <c r="P45" s="184"/>
      <c r="Q45" s="164"/>
      <c r="R45" s="177"/>
      <c r="S45" s="185"/>
      <c r="T45" s="181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181"/>
      <c r="M46" s="181"/>
      <c r="N46" s="183"/>
      <c r="O46" s="187"/>
      <c r="P46" s="184"/>
      <c r="Q46" s="187"/>
      <c r="R46" s="188"/>
      <c r="S46" s="185"/>
      <c r="T46" s="181"/>
    </row>
    <row r="47" spans="1:28" ht="15.75" customHeight="1">
      <c r="F47" s="183"/>
      <c r="G47" s="164"/>
      <c r="H47" s="184"/>
      <c r="I47" s="164"/>
      <c r="J47" s="177"/>
      <c r="K47" s="185"/>
      <c r="L47" s="181"/>
      <c r="M47" s="181"/>
      <c r="N47" s="183"/>
      <c r="O47" s="164"/>
      <c r="P47" s="184"/>
      <c r="Q47" s="164"/>
      <c r="R47" s="177"/>
      <c r="S47" s="185"/>
      <c r="T47" s="181"/>
    </row>
    <row r="48" spans="1:28" ht="15.75" customHeight="1">
      <c r="F48" s="183"/>
      <c r="G48" s="182"/>
      <c r="H48" s="184"/>
      <c r="I48" s="182"/>
      <c r="J48" s="186"/>
      <c r="K48" s="185"/>
      <c r="L48" s="181"/>
      <c r="M48" s="181"/>
      <c r="N48" s="183"/>
      <c r="O48" s="182"/>
      <c r="P48" s="184"/>
      <c r="Q48" s="182"/>
      <c r="R48" s="186"/>
      <c r="S48" s="185"/>
      <c r="T48" s="181"/>
    </row>
    <row r="49" spans="6:20" ht="15.75" customHeight="1">
      <c r="F49" s="183"/>
      <c r="G49" s="164"/>
      <c r="H49" s="184"/>
      <c r="I49" s="164"/>
      <c r="J49" s="177"/>
      <c r="K49" s="185"/>
      <c r="L49" s="181"/>
      <c r="M49" s="181"/>
      <c r="N49" s="183"/>
      <c r="O49" s="164"/>
      <c r="P49" s="184"/>
      <c r="Q49" s="164"/>
      <c r="R49" s="177"/>
      <c r="S49" s="185"/>
      <c r="T49" s="181"/>
    </row>
    <row r="50" spans="6:20" ht="15.75" customHeight="1">
      <c r="F50" s="183"/>
      <c r="G50" s="187"/>
      <c r="H50" s="184"/>
      <c r="I50" s="187"/>
      <c r="J50" s="188"/>
      <c r="K50" s="185"/>
      <c r="L50" s="181"/>
      <c r="M50" s="181"/>
      <c r="N50" s="183"/>
      <c r="O50" s="187"/>
      <c r="P50" s="184"/>
      <c r="Q50" s="187"/>
      <c r="R50" s="188"/>
      <c r="S50" s="185"/>
      <c r="T50" s="181"/>
    </row>
    <row r="51" spans="6:20" ht="15.75" customHeight="1">
      <c r="F51" s="183"/>
      <c r="G51" s="164"/>
      <c r="H51" s="184"/>
      <c r="I51" s="164"/>
      <c r="J51" s="177"/>
      <c r="K51" s="185"/>
      <c r="L51" s="181"/>
      <c r="M51" s="181"/>
      <c r="N51" s="183"/>
      <c r="O51" s="164"/>
      <c r="P51" s="184"/>
      <c r="Q51" s="164"/>
      <c r="R51" s="177"/>
      <c r="S51" s="185"/>
      <c r="T51" s="181"/>
    </row>
    <row r="52" spans="6:20" ht="15.75" customHeight="1">
      <c r="F52" s="183"/>
      <c r="G52" s="187"/>
      <c r="H52" s="184"/>
      <c r="I52" s="187"/>
      <c r="J52" s="188"/>
      <c r="K52" s="185"/>
      <c r="L52" s="181"/>
      <c r="M52" s="181"/>
      <c r="N52" s="183"/>
      <c r="O52" s="187"/>
      <c r="P52" s="184"/>
      <c r="Q52" s="187"/>
      <c r="R52" s="188"/>
      <c r="S52" s="185"/>
      <c r="T52" s="181"/>
    </row>
    <row r="53" spans="6:20" ht="15.75" customHeight="1">
      <c r="F53" s="183"/>
      <c r="G53" s="164"/>
      <c r="H53" s="184"/>
      <c r="I53" s="164"/>
      <c r="J53" s="177"/>
      <c r="K53" s="185"/>
      <c r="L53" s="181"/>
      <c r="M53" s="181"/>
      <c r="N53" s="183"/>
      <c r="O53" s="187"/>
      <c r="P53" s="184"/>
      <c r="Q53" s="187"/>
      <c r="R53" s="188"/>
      <c r="S53" s="185"/>
      <c r="T53" s="181"/>
    </row>
    <row r="54" spans="6:20" ht="15.75" customHeight="1">
      <c r="F54" s="183"/>
      <c r="G54" s="187"/>
      <c r="H54" s="184"/>
      <c r="I54" s="187"/>
      <c r="J54" s="188"/>
      <c r="K54" s="185"/>
      <c r="L54" s="181"/>
      <c r="M54" s="181"/>
      <c r="N54" s="183"/>
      <c r="O54" s="164"/>
      <c r="P54" s="184"/>
      <c r="Q54" s="164"/>
      <c r="R54" s="177"/>
      <c r="S54" s="185"/>
      <c r="T54" s="181"/>
    </row>
    <row r="55" spans="6:20" ht="15.75" customHeight="1">
      <c r="F55" s="183"/>
      <c r="G55" s="164"/>
      <c r="H55" s="184"/>
      <c r="I55" s="164"/>
      <c r="J55" s="177"/>
      <c r="K55" s="185"/>
      <c r="L55" s="181"/>
      <c r="M55" s="181"/>
      <c r="N55" s="183"/>
      <c r="O55" s="182"/>
      <c r="P55" s="184"/>
      <c r="Q55" s="182"/>
      <c r="R55" s="186"/>
      <c r="S55" s="185"/>
      <c r="T55" s="181"/>
    </row>
    <row r="56" spans="6:20" ht="15.75" customHeight="1">
      <c r="F56" s="183"/>
      <c r="G56" s="182"/>
      <c r="H56" s="184"/>
      <c r="I56" s="182"/>
      <c r="J56" s="186"/>
      <c r="K56" s="185"/>
      <c r="L56" s="181"/>
      <c r="M56" s="181"/>
      <c r="N56" s="183"/>
      <c r="O56" s="164"/>
      <c r="P56" s="184"/>
      <c r="Q56" s="164"/>
      <c r="R56" s="177"/>
      <c r="S56" s="185"/>
      <c r="T56" s="181"/>
    </row>
    <row r="57" spans="6:20" ht="15.75" customHeight="1">
      <c r="F57" s="183"/>
      <c r="G57" s="164"/>
      <c r="H57" s="184"/>
      <c r="I57" s="164"/>
      <c r="J57" s="177"/>
      <c r="K57" s="185"/>
      <c r="L57" s="181"/>
      <c r="M57" s="181"/>
      <c r="N57" s="183"/>
      <c r="O57" s="187"/>
      <c r="P57" s="184"/>
      <c r="Q57" s="187"/>
      <c r="R57" s="188"/>
      <c r="S57" s="185"/>
      <c r="T57" s="181"/>
    </row>
    <row r="58" spans="6:20" ht="15.75" customHeight="1">
      <c r="F58" s="183"/>
      <c r="G58" s="187"/>
      <c r="H58" s="184"/>
      <c r="I58" s="187"/>
      <c r="J58" s="188"/>
      <c r="K58" s="185"/>
      <c r="L58" s="181"/>
      <c r="M58" s="181"/>
      <c r="N58" s="183"/>
      <c r="O58" s="164"/>
      <c r="P58" s="184"/>
      <c r="Q58" s="164"/>
      <c r="R58" s="177"/>
      <c r="S58" s="185"/>
      <c r="T58" s="181"/>
    </row>
    <row r="59" spans="6:20" ht="15.75" customHeight="1">
      <c r="F59" s="183"/>
      <c r="G59" s="164"/>
      <c r="H59" s="184"/>
      <c r="I59" s="164"/>
      <c r="J59" s="177"/>
      <c r="K59" s="185"/>
      <c r="L59" s="181"/>
      <c r="M59" s="181"/>
      <c r="N59" s="183"/>
      <c r="O59" s="187"/>
      <c r="P59" s="184"/>
      <c r="Q59" s="187"/>
      <c r="R59" s="188"/>
      <c r="S59" s="185"/>
      <c r="T59" s="181"/>
    </row>
    <row r="60" spans="6:20" ht="15.75" customHeight="1">
      <c r="F60" s="183"/>
      <c r="G60" s="187"/>
      <c r="H60" s="184"/>
      <c r="I60" s="187"/>
      <c r="J60" s="188"/>
      <c r="K60" s="185"/>
      <c r="L60" s="181"/>
      <c r="M60" s="181"/>
      <c r="N60" s="183"/>
      <c r="O60" s="164"/>
      <c r="P60" s="184"/>
      <c r="Q60" s="164"/>
      <c r="R60" s="177"/>
      <c r="S60" s="185"/>
      <c r="T60" s="181"/>
    </row>
    <row r="61" spans="6:20" ht="15.75" customHeight="1">
      <c r="F61" s="183"/>
      <c r="G61" s="164"/>
      <c r="H61" s="184"/>
      <c r="I61" s="164"/>
      <c r="J61" s="177"/>
      <c r="K61" s="185"/>
      <c r="L61" s="181"/>
      <c r="M61" s="181"/>
      <c r="N61" s="183"/>
      <c r="O61" s="182"/>
      <c r="P61" s="184"/>
      <c r="Q61" s="182"/>
      <c r="R61" s="186"/>
      <c r="S61" s="185"/>
      <c r="T61" s="181"/>
    </row>
    <row r="62" spans="6:20" ht="15.75" customHeight="1">
      <c r="F62" s="183"/>
      <c r="G62" s="182"/>
      <c r="H62" s="184"/>
      <c r="I62" s="182"/>
      <c r="J62" s="186"/>
      <c r="K62" s="185"/>
      <c r="L62" s="181"/>
      <c r="M62" s="181"/>
      <c r="N62" s="183"/>
      <c r="O62" s="164"/>
      <c r="P62" s="184"/>
      <c r="Q62" s="164"/>
      <c r="R62" s="177"/>
      <c r="S62" s="185"/>
      <c r="T62" s="181"/>
    </row>
    <row r="63" spans="6:20" ht="15.75" customHeight="1">
      <c r="F63" s="183"/>
      <c r="G63" s="164"/>
      <c r="H63" s="184"/>
      <c r="I63" s="164"/>
      <c r="J63" s="177"/>
      <c r="K63" s="185"/>
      <c r="L63" s="181"/>
      <c r="M63" s="181"/>
      <c r="N63" s="183"/>
      <c r="O63" s="187"/>
      <c r="P63" s="184"/>
      <c r="Q63" s="187"/>
      <c r="R63" s="188"/>
      <c r="S63" s="185"/>
      <c r="T63" s="181"/>
    </row>
    <row r="64" spans="6:20" ht="15.75" customHeight="1">
      <c r="F64" s="183"/>
      <c r="G64" s="187"/>
      <c r="H64" s="184"/>
      <c r="I64" s="187"/>
      <c r="J64" s="188"/>
      <c r="K64" s="185"/>
      <c r="L64" s="181"/>
      <c r="M64" s="181"/>
      <c r="N64" s="183"/>
      <c r="O64" s="164"/>
      <c r="P64" s="184"/>
      <c r="Q64" s="164"/>
      <c r="R64" s="177"/>
      <c r="S64" s="185"/>
      <c r="T64" s="181"/>
    </row>
    <row r="65" spans="6:29" ht="15.75" customHeight="1">
      <c r="F65" s="183"/>
      <c r="G65" s="164"/>
      <c r="H65" s="184"/>
      <c r="I65" s="164"/>
      <c r="J65" s="177"/>
      <c r="K65" s="185"/>
      <c r="L65" s="181"/>
      <c r="M65" s="181"/>
      <c r="N65" s="183"/>
      <c r="O65" s="187"/>
      <c r="P65" s="184"/>
      <c r="Q65" s="187"/>
      <c r="R65" s="188"/>
      <c r="S65" s="185"/>
      <c r="T65" s="181"/>
    </row>
    <row r="66" spans="6:29" ht="15.75" customHeight="1">
      <c r="F66" s="183"/>
      <c r="G66" s="187"/>
      <c r="H66" s="184"/>
      <c r="I66" s="187"/>
      <c r="J66" s="188"/>
      <c r="K66" s="185"/>
      <c r="L66" s="181"/>
      <c r="M66" s="181"/>
      <c r="N66" s="183"/>
      <c r="O66" s="187"/>
      <c r="P66" s="184"/>
      <c r="Q66" s="187"/>
      <c r="R66" s="188"/>
      <c r="S66" s="185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</row>
    <row r="67" spans="6:29" ht="15.75" customHeight="1">
      <c r="F67" s="183"/>
      <c r="G67" s="164"/>
      <c r="H67" s="184"/>
      <c r="I67" s="164"/>
      <c r="J67" s="177"/>
      <c r="K67" s="185"/>
      <c r="L67" s="181"/>
      <c r="M67" s="181"/>
      <c r="N67" s="183"/>
      <c r="O67" s="164"/>
      <c r="P67" s="184"/>
      <c r="Q67" s="164"/>
      <c r="R67" s="177"/>
      <c r="S67" s="185"/>
      <c r="T67" s="181"/>
      <c r="U67" s="181"/>
      <c r="V67" s="181"/>
      <c r="W67" s="181"/>
      <c r="X67" s="181"/>
      <c r="Y67" s="181"/>
      <c r="Z67" s="181"/>
      <c r="AA67" s="181"/>
      <c r="AB67" s="181"/>
      <c r="AC67" s="181"/>
    </row>
    <row r="68" spans="6:29" ht="15.75" customHeight="1">
      <c r="F68" s="183"/>
      <c r="G68" s="182"/>
      <c r="H68" s="184"/>
      <c r="I68" s="182"/>
      <c r="J68" s="186"/>
      <c r="K68" s="185"/>
      <c r="L68" s="181"/>
      <c r="M68" s="181"/>
      <c r="N68" s="183"/>
      <c r="O68" s="182"/>
      <c r="P68" s="184"/>
      <c r="Q68" s="182"/>
      <c r="R68" s="186"/>
      <c r="S68" s="185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</row>
    <row r="69" spans="6:29" ht="15.75" customHeight="1">
      <c r="F69" s="183"/>
      <c r="G69" s="164"/>
      <c r="H69" s="184"/>
      <c r="I69" s="164"/>
      <c r="J69" s="177"/>
      <c r="K69" s="185"/>
      <c r="L69" s="181"/>
      <c r="M69" s="181"/>
      <c r="N69" s="183"/>
      <c r="O69" s="164"/>
      <c r="P69" s="184"/>
      <c r="Q69" s="164"/>
      <c r="R69" s="177"/>
      <c r="S69" s="185"/>
      <c r="T69" s="181"/>
      <c r="U69" s="181"/>
      <c r="V69" s="181"/>
      <c r="W69" s="181"/>
      <c r="X69" s="181"/>
      <c r="Y69" s="181"/>
      <c r="Z69" s="181"/>
      <c r="AA69" s="181"/>
      <c r="AB69" s="181"/>
      <c r="AC69" s="181"/>
    </row>
    <row r="70" spans="6:29" ht="15.75" customHeight="1">
      <c r="F70" s="183"/>
      <c r="G70" s="187"/>
      <c r="H70" s="184"/>
      <c r="I70" s="187"/>
      <c r="J70" s="188"/>
      <c r="K70" s="185"/>
      <c r="L70" s="181"/>
      <c r="M70" s="181"/>
      <c r="N70" s="183"/>
      <c r="O70" s="187"/>
      <c r="P70" s="184"/>
      <c r="Q70" s="187"/>
      <c r="R70" s="188"/>
      <c r="S70" s="185"/>
      <c r="T70" s="181"/>
      <c r="U70" s="181"/>
      <c r="V70" s="181"/>
      <c r="W70" s="181"/>
      <c r="X70" s="181"/>
      <c r="Y70" s="181"/>
      <c r="Z70" s="181"/>
      <c r="AA70" s="181"/>
      <c r="AB70" s="181"/>
      <c r="AC70" s="181"/>
    </row>
    <row r="71" spans="6:29" ht="15.75" customHeight="1">
      <c r="F71" s="183"/>
      <c r="G71" s="164"/>
      <c r="H71" s="184"/>
      <c r="I71" s="164"/>
      <c r="J71" s="177"/>
      <c r="K71" s="185"/>
      <c r="L71" s="181"/>
      <c r="M71" s="181"/>
      <c r="N71" s="183"/>
      <c r="O71" s="164"/>
      <c r="P71" s="184"/>
      <c r="Q71" s="164"/>
      <c r="R71" s="177"/>
      <c r="S71" s="185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</row>
    <row r="72" spans="6:29" ht="15.75" customHeight="1">
      <c r="F72" s="183"/>
      <c r="G72" s="187"/>
      <c r="H72" s="184"/>
      <c r="I72" s="187"/>
      <c r="J72" s="188"/>
      <c r="K72" s="185"/>
      <c r="L72" s="181"/>
      <c r="M72" s="181"/>
      <c r="N72" s="183"/>
      <c r="O72" s="187"/>
      <c r="P72" s="184"/>
      <c r="Q72" s="187"/>
      <c r="R72" s="188"/>
      <c r="S72" s="185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</row>
    <row r="73" spans="6:29" ht="15.75" customHeight="1">
      <c r="F73" s="183"/>
      <c r="G73" s="164"/>
      <c r="H73" s="184"/>
      <c r="I73" s="164"/>
      <c r="J73" s="177"/>
      <c r="K73" s="185"/>
      <c r="L73" s="181"/>
      <c r="M73" s="181"/>
      <c r="N73" s="183"/>
      <c r="O73" s="164"/>
      <c r="P73" s="184"/>
      <c r="Q73" s="164"/>
      <c r="R73" s="177"/>
      <c r="S73" s="185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</row>
    <row r="74" spans="6:29" ht="15.75" customHeight="1">
      <c r="F74" s="183"/>
      <c r="G74" s="182"/>
      <c r="H74" s="184"/>
      <c r="I74" s="182"/>
      <c r="J74" s="186"/>
      <c r="K74" s="185"/>
      <c r="L74" s="181"/>
      <c r="M74" s="181"/>
      <c r="N74" s="183"/>
      <c r="O74" s="182"/>
      <c r="P74" s="184"/>
      <c r="Q74" s="182"/>
      <c r="R74" s="186"/>
      <c r="S74" s="185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</row>
    <row r="75" spans="6:29" ht="15.75" customHeight="1">
      <c r="F75" s="183"/>
      <c r="G75" s="164"/>
      <c r="H75" s="184"/>
      <c r="I75" s="164"/>
      <c r="J75" s="177"/>
      <c r="K75" s="185"/>
      <c r="L75" s="181"/>
      <c r="M75" s="181"/>
      <c r="N75" s="183"/>
      <c r="O75" s="164"/>
      <c r="P75" s="184"/>
      <c r="Q75" s="164"/>
      <c r="R75" s="177"/>
      <c r="S75" s="185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</row>
    <row r="76" spans="6:29" ht="15.75" customHeight="1">
      <c r="F76" s="183"/>
      <c r="G76" s="187"/>
      <c r="H76" s="184"/>
      <c r="I76" s="187"/>
      <c r="J76" s="188"/>
      <c r="K76" s="185"/>
      <c r="L76" s="181"/>
      <c r="M76" s="181"/>
      <c r="N76" s="183"/>
      <c r="O76" s="187"/>
      <c r="P76" s="184"/>
      <c r="Q76" s="187"/>
      <c r="R76" s="188"/>
      <c r="S76" s="185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</row>
    <row r="77" spans="6:29" ht="15.75" customHeight="1">
      <c r="F77" s="183"/>
      <c r="G77" s="164"/>
      <c r="H77" s="184"/>
      <c r="I77" s="164"/>
      <c r="J77" s="177"/>
      <c r="K77" s="185"/>
      <c r="L77" s="181"/>
      <c r="M77" s="181"/>
      <c r="N77" s="183"/>
      <c r="O77" s="164"/>
      <c r="P77" s="184"/>
      <c r="Q77" s="164"/>
      <c r="R77" s="177"/>
      <c r="S77" s="185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</row>
    <row r="78" spans="6:29" ht="15.75" customHeight="1">
      <c r="F78" s="183"/>
      <c r="G78" s="187"/>
      <c r="H78" s="184"/>
      <c r="I78" s="187"/>
      <c r="J78" s="188"/>
      <c r="K78" s="185"/>
      <c r="L78" s="181"/>
      <c r="M78" s="181"/>
      <c r="N78" s="183"/>
      <c r="O78" s="187"/>
      <c r="P78" s="184"/>
      <c r="Q78" s="187"/>
      <c r="R78" s="188"/>
      <c r="S78" s="185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</row>
    <row r="79" spans="6:29" ht="15.75" customHeight="1">
      <c r="F79" s="183"/>
      <c r="G79" s="164"/>
      <c r="H79" s="184"/>
      <c r="I79" s="164"/>
      <c r="J79" s="177"/>
      <c r="K79" s="185"/>
      <c r="L79" s="181"/>
      <c r="M79" s="181"/>
      <c r="N79" s="183"/>
      <c r="O79" s="164"/>
      <c r="P79" s="184"/>
      <c r="Q79" s="164"/>
      <c r="R79" s="177"/>
      <c r="S79" s="185"/>
      <c r="T79" s="181"/>
      <c r="U79" s="181"/>
      <c r="V79" s="181"/>
      <c r="W79" s="181"/>
      <c r="X79" s="181"/>
      <c r="Y79" s="181"/>
      <c r="Z79" s="181"/>
      <c r="AA79" s="181"/>
      <c r="AB79" s="181"/>
      <c r="AC79" s="181"/>
    </row>
    <row r="80" spans="6:29" ht="15.75" customHeight="1">
      <c r="F80" s="183"/>
      <c r="G80" s="187"/>
      <c r="H80" s="184"/>
      <c r="I80" s="187"/>
      <c r="J80" s="188"/>
      <c r="K80" s="185"/>
      <c r="L80" s="181"/>
      <c r="M80" s="181"/>
      <c r="N80" s="183"/>
      <c r="O80" s="187"/>
      <c r="P80" s="184"/>
      <c r="Q80" s="187"/>
      <c r="R80" s="188"/>
      <c r="S80" s="185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</row>
    <row r="81" spans="6:29" ht="15.75" customHeight="1">
      <c r="F81" s="183"/>
      <c r="G81" s="164"/>
      <c r="H81" s="184"/>
      <c r="I81" s="164"/>
      <c r="J81" s="177"/>
      <c r="K81" s="185"/>
      <c r="L81" s="181"/>
      <c r="M81" s="181"/>
      <c r="N81" s="183"/>
      <c r="O81" s="164"/>
      <c r="P81" s="184"/>
      <c r="Q81" s="164"/>
      <c r="R81" s="177"/>
      <c r="S81" s="185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</row>
    <row r="82" spans="6:29" ht="15.75" customHeight="1">
      <c r="F82" s="183"/>
      <c r="G82" s="182"/>
      <c r="H82" s="184"/>
      <c r="I82" s="182"/>
      <c r="J82" s="186"/>
      <c r="K82" s="185"/>
      <c r="L82" s="181"/>
      <c r="M82" s="181"/>
      <c r="N82" s="183"/>
      <c r="O82" s="182"/>
      <c r="P82" s="184"/>
      <c r="Q82" s="182"/>
      <c r="R82" s="186"/>
      <c r="S82" s="185"/>
      <c r="T82" s="181"/>
      <c r="U82" s="181"/>
      <c r="V82" s="181"/>
      <c r="W82" s="181"/>
      <c r="X82" s="181"/>
      <c r="Y82" s="181"/>
      <c r="Z82" s="181"/>
      <c r="AA82" s="181"/>
      <c r="AB82" s="181"/>
      <c r="AC82" s="181"/>
    </row>
    <row r="83" spans="6:29" ht="15.75" customHeight="1">
      <c r="F83" s="183"/>
      <c r="G83" s="164"/>
      <c r="H83" s="184"/>
      <c r="I83" s="164"/>
      <c r="J83" s="177"/>
      <c r="K83" s="185"/>
      <c r="L83" s="181"/>
      <c r="M83" s="181"/>
      <c r="N83" s="183"/>
      <c r="O83" s="164"/>
      <c r="P83" s="184"/>
      <c r="Q83" s="164"/>
      <c r="R83" s="177"/>
      <c r="S83" s="185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</row>
    <row r="84" spans="6:29" ht="15.75" customHeight="1">
      <c r="F84" s="183"/>
      <c r="G84" s="187"/>
      <c r="H84" s="184"/>
      <c r="I84" s="187"/>
      <c r="J84" s="188"/>
      <c r="K84" s="185"/>
      <c r="L84" s="181"/>
      <c r="M84" s="181"/>
      <c r="N84" s="183"/>
      <c r="O84" s="187"/>
      <c r="P84" s="184"/>
      <c r="Q84" s="187"/>
      <c r="R84" s="188"/>
      <c r="S84" s="185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</row>
    <row r="85" spans="6:29" ht="15.75" customHeight="1">
      <c r="F85" s="183"/>
      <c r="G85" s="164"/>
      <c r="H85" s="184"/>
      <c r="I85" s="164"/>
      <c r="J85" s="177"/>
      <c r="K85" s="185"/>
      <c r="L85" s="181"/>
      <c r="M85" s="181"/>
      <c r="N85" s="183"/>
      <c r="O85" s="164"/>
      <c r="P85" s="184"/>
      <c r="Q85" s="164"/>
      <c r="R85" s="177"/>
      <c r="S85" s="185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</row>
    <row r="86" spans="6:29" ht="15.75" customHeight="1">
      <c r="F86" s="183"/>
      <c r="G86" s="187"/>
      <c r="H86" s="184"/>
      <c r="I86" s="187"/>
      <c r="J86" s="188"/>
      <c r="K86" s="185"/>
      <c r="L86" s="181"/>
      <c r="M86" s="181"/>
      <c r="N86" s="183"/>
      <c r="O86" s="187"/>
      <c r="P86" s="184"/>
      <c r="Q86" s="187"/>
      <c r="R86" s="188"/>
      <c r="S86" s="185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</row>
    <row r="87" spans="6:29" ht="15.75" customHeight="1">
      <c r="F87" s="183"/>
      <c r="G87" s="164"/>
      <c r="H87" s="184"/>
      <c r="I87" s="164"/>
      <c r="J87" s="177"/>
      <c r="K87" s="185"/>
      <c r="L87" s="181"/>
      <c r="M87" s="181"/>
      <c r="N87" s="183"/>
      <c r="O87" s="164"/>
      <c r="P87" s="184"/>
      <c r="Q87" s="164"/>
      <c r="R87" s="177"/>
      <c r="S87" s="185"/>
      <c r="T87" s="181"/>
      <c r="U87" s="181"/>
      <c r="V87" s="181"/>
      <c r="W87" s="181"/>
      <c r="X87" s="181"/>
      <c r="Y87" s="181"/>
      <c r="Z87" s="181"/>
      <c r="AA87" s="181"/>
      <c r="AB87" s="181"/>
      <c r="AC87" s="181"/>
    </row>
    <row r="88" spans="6:29" ht="15.75" customHeight="1">
      <c r="F88" s="183"/>
      <c r="G88" s="182"/>
      <c r="H88" s="184"/>
      <c r="I88" s="182"/>
      <c r="J88" s="186"/>
      <c r="K88" s="185"/>
      <c r="L88" s="181"/>
      <c r="M88" s="181"/>
      <c r="N88" s="183"/>
      <c r="O88" s="182"/>
      <c r="P88" s="184"/>
      <c r="Q88" s="182"/>
      <c r="R88" s="186"/>
      <c r="S88" s="185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</row>
    <row r="89" spans="6:29" ht="15.75" customHeight="1">
      <c r="F89" s="183"/>
      <c r="G89" s="164"/>
      <c r="H89" s="184"/>
      <c r="I89" s="164"/>
      <c r="J89" s="177"/>
      <c r="K89" s="185"/>
      <c r="L89" s="181"/>
      <c r="M89" s="181"/>
      <c r="N89" s="183"/>
      <c r="O89" s="164"/>
      <c r="P89" s="184"/>
      <c r="Q89" s="164"/>
      <c r="R89" s="177"/>
      <c r="S89" s="185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</row>
    <row r="90" spans="6:29" ht="15.75" customHeight="1">
      <c r="F90" s="183"/>
      <c r="G90" s="187"/>
      <c r="H90" s="184"/>
      <c r="I90" s="187"/>
      <c r="J90" s="188"/>
      <c r="K90" s="185"/>
      <c r="L90" s="181"/>
      <c r="M90" s="181"/>
      <c r="N90" s="183"/>
      <c r="O90" s="187"/>
      <c r="P90" s="184"/>
      <c r="Q90" s="187"/>
      <c r="R90" s="188"/>
      <c r="S90" s="185"/>
      <c r="T90" s="181"/>
      <c r="U90" s="181"/>
      <c r="V90" s="181"/>
      <c r="W90" s="181"/>
      <c r="X90" s="181"/>
      <c r="Y90" s="181"/>
      <c r="Z90" s="181"/>
      <c r="AA90" s="181"/>
      <c r="AB90" s="181"/>
      <c r="AC90" s="181"/>
    </row>
    <row r="91" spans="6:29" ht="15.75" customHeight="1">
      <c r="F91" s="183"/>
      <c r="G91" s="187"/>
      <c r="H91" s="184"/>
      <c r="I91" s="187"/>
      <c r="J91" s="188"/>
      <c r="K91" s="185"/>
      <c r="L91" s="181"/>
      <c r="M91" s="181"/>
      <c r="N91" s="183"/>
      <c r="O91" s="164"/>
      <c r="P91" s="184"/>
      <c r="Q91" s="164"/>
      <c r="R91" s="177"/>
      <c r="S91" s="185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</row>
    <row r="92" spans="6:29" ht="15.75" customHeight="1">
      <c r="F92" s="183"/>
      <c r="G92" s="164"/>
      <c r="H92" s="184"/>
      <c r="I92" s="164"/>
      <c r="J92" s="177"/>
      <c r="K92" s="185"/>
      <c r="L92" s="181"/>
      <c r="M92" s="181"/>
      <c r="N92" s="183"/>
      <c r="O92" s="187"/>
      <c r="P92" s="184"/>
      <c r="Q92" s="187"/>
      <c r="R92" s="188"/>
      <c r="S92" s="185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</row>
    <row r="93" spans="6:29" ht="15.75" customHeight="1">
      <c r="F93" s="183"/>
      <c r="G93" s="182"/>
      <c r="H93" s="184"/>
      <c r="I93" s="182"/>
      <c r="J93" s="186"/>
      <c r="K93" s="185"/>
      <c r="L93" s="181"/>
      <c r="M93" s="181"/>
      <c r="N93" s="183"/>
      <c r="O93" s="164"/>
      <c r="P93" s="184"/>
      <c r="Q93" s="164"/>
      <c r="R93" s="177"/>
      <c r="S93" s="185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</row>
    <row r="94" spans="6:29" ht="15.75" customHeight="1">
      <c r="F94" s="183"/>
      <c r="G94" s="164"/>
      <c r="H94" s="184"/>
      <c r="I94" s="164"/>
      <c r="J94" s="177"/>
      <c r="K94" s="185"/>
      <c r="L94" s="181"/>
      <c r="M94" s="181"/>
      <c r="N94" s="183"/>
      <c r="O94" s="182"/>
      <c r="P94" s="184"/>
      <c r="Q94" s="182"/>
      <c r="R94" s="186"/>
      <c r="S94" s="185"/>
      <c r="T94" s="181"/>
      <c r="U94" s="181"/>
      <c r="V94" s="181"/>
      <c r="W94" s="181"/>
      <c r="X94" s="181"/>
      <c r="Y94" s="181"/>
      <c r="Z94" s="181"/>
      <c r="AA94" s="181"/>
      <c r="AB94" s="181"/>
      <c r="AC94" s="181"/>
    </row>
    <row r="95" spans="6:29" ht="15.75" customHeight="1">
      <c r="F95" s="183"/>
      <c r="G95" s="187"/>
      <c r="H95" s="184"/>
      <c r="I95" s="187"/>
      <c r="J95" s="188"/>
      <c r="K95" s="185"/>
      <c r="L95" s="181"/>
      <c r="M95" s="181"/>
      <c r="N95" s="183"/>
      <c r="O95" s="164"/>
      <c r="P95" s="184"/>
      <c r="Q95" s="164"/>
      <c r="R95" s="177"/>
      <c r="S95" s="185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</row>
    <row r="96" spans="6:29" ht="15.75" customHeight="1">
      <c r="F96" s="183"/>
      <c r="G96" s="164"/>
      <c r="H96" s="184"/>
      <c r="I96" s="164"/>
      <c r="J96" s="177"/>
      <c r="K96" s="185"/>
      <c r="L96" s="181"/>
      <c r="M96" s="181"/>
      <c r="N96" s="183"/>
      <c r="O96" s="187"/>
      <c r="P96" s="184"/>
      <c r="Q96" s="187"/>
      <c r="R96" s="188"/>
      <c r="S96" s="185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</row>
    <row r="97" spans="6:29" ht="15.75" customHeight="1">
      <c r="F97" s="183"/>
      <c r="G97" s="187"/>
      <c r="H97" s="184"/>
      <c r="I97" s="187"/>
      <c r="J97" s="188"/>
      <c r="K97" s="185"/>
      <c r="L97" s="181"/>
      <c r="M97" s="181"/>
      <c r="N97" s="183"/>
      <c r="O97" s="164"/>
      <c r="P97" s="184"/>
      <c r="Q97" s="164"/>
      <c r="R97" s="177"/>
      <c r="S97" s="185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</row>
    <row r="98" spans="6:29" ht="15.75" customHeight="1">
      <c r="F98" s="183"/>
      <c r="G98" s="164"/>
      <c r="H98" s="184"/>
      <c r="I98" s="164"/>
      <c r="J98" s="177"/>
      <c r="K98" s="185"/>
      <c r="L98" s="181"/>
      <c r="M98" s="181"/>
      <c r="N98" s="183"/>
      <c r="O98" s="187"/>
      <c r="P98" s="184"/>
      <c r="Q98" s="187"/>
      <c r="R98" s="188"/>
      <c r="S98" s="185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</row>
    <row r="99" spans="6:29" ht="15.75" customHeight="1">
      <c r="F99" s="183"/>
      <c r="G99" s="182"/>
      <c r="H99" s="184"/>
      <c r="I99" s="182"/>
      <c r="J99" s="186"/>
      <c r="K99" s="185"/>
      <c r="L99" s="181"/>
      <c r="M99" s="181"/>
      <c r="N99" s="183"/>
      <c r="O99" s="164"/>
      <c r="P99" s="184"/>
      <c r="Q99" s="164"/>
      <c r="R99" s="177"/>
      <c r="S99" s="185"/>
      <c r="T99" s="181"/>
      <c r="U99" s="181"/>
      <c r="V99" s="181"/>
      <c r="W99" s="181"/>
      <c r="X99" s="181"/>
      <c r="Y99" s="181"/>
      <c r="Z99" s="181"/>
      <c r="AA99" s="181"/>
      <c r="AB99" s="181"/>
      <c r="AC99" s="181"/>
    </row>
    <row r="100" spans="6:29" ht="15.75" customHeight="1">
      <c r="F100" s="183"/>
      <c r="G100" s="164"/>
      <c r="H100" s="184"/>
      <c r="I100" s="164"/>
      <c r="J100" s="177"/>
      <c r="K100" s="185"/>
      <c r="L100" s="181"/>
      <c r="M100" s="181"/>
      <c r="N100" s="183"/>
      <c r="O100" s="182"/>
      <c r="P100" s="184"/>
      <c r="Q100" s="182"/>
      <c r="R100" s="186"/>
      <c r="S100" s="185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</row>
    <row r="101" spans="6:29" ht="15.75" customHeight="1">
      <c r="F101" s="183"/>
      <c r="G101" s="187"/>
      <c r="H101" s="184"/>
      <c r="I101" s="187"/>
      <c r="J101" s="188"/>
      <c r="K101" s="185"/>
      <c r="L101" s="181"/>
      <c r="M101" s="181"/>
      <c r="N101" s="183"/>
      <c r="O101" s="187"/>
      <c r="P101" s="184"/>
      <c r="Q101" s="187"/>
      <c r="R101" s="188"/>
      <c r="S101" s="185"/>
      <c r="T101" s="181"/>
      <c r="U101" s="181"/>
      <c r="V101" s="181"/>
      <c r="W101" s="181"/>
      <c r="X101" s="181"/>
      <c r="Y101" s="181"/>
      <c r="Z101" s="181"/>
      <c r="AA101" s="181"/>
      <c r="AB101" s="181"/>
      <c r="AC101" s="181"/>
    </row>
    <row r="102" spans="6:29" ht="15.75" customHeight="1">
      <c r="F102" s="183"/>
      <c r="G102" s="164"/>
      <c r="H102" s="184"/>
      <c r="I102" s="164"/>
      <c r="J102" s="177"/>
      <c r="K102" s="185"/>
      <c r="L102" s="181"/>
      <c r="M102" s="181"/>
      <c r="N102" s="183"/>
      <c r="O102" s="164"/>
      <c r="P102" s="184"/>
      <c r="Q102" s="164"/>
      <c r="R102" s="177"/>
      <c r="S102" s="185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</row>
    <row r="103" spans="6:29" ht="15.75" customHeight="1">
      <c r="F103" s="183"/>
      <c r="G103" s="187"/>
      <c r="H103" s="184"/>
      <c r="I103" s="187"/>
      <c r="J103" s="188"/>
      <c r="K103" s="185"/>
      <c r="L103" s="181"/>
      <c r="M103" s="181"/>
      <c r="N103" s="183"/>
      <c r="O103" s="182"/>
      <c r="P103" s="184"/>
      <c r="Q103" s="182"/>
      <c r="R103" s="186"/>
      <c r="S103" s="185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</row>
    <row r="104" spans="6:29" ht="15.75" customHeight="1">
      <c r="F104" s="183"/>
      <c r="G104" s="164"/>
      <c r="H104" s="184"/>
      <c r="I104" s="164"/>
      <c r="J104" s="177"/>
      <c r="K104" s="185"/>
      <c r="L104" s="181"/>
      <c r="M104" s="181"/>
      <c r="N104" s="183"/>
      <c r="O104" s="164"/>
      <c r="P104" s="184"/>
      <c r="Q104" s="164"/>
      <c r="R104" s="177"/>
      <c r="S104" s="185"/>
      <c r="T104" s="181"/>
      <c r="U104" s="181"/>
      <c r="V104" s="181"/>
      <c r="W104" s="181"/>
      <c r="X104" s="181"/>
      <c r="Y104" s="181"/>
      <c r="Z104" s="181"/>
      <c r="AA104" s="181"/>
      <c r="AB104" s="181"/>
      <c r="AC104" s="181"/>
    </row>
    <row r="105" spans="6:29" ht="15.75" customHeight="1">
      <c r="F105" s="183"/>
      <c r="G105" s="187"/>
      <c r="H105" s="184"/>
      <c r="I105" s="187"/>
      <c r="J105" s="188"/>
      <c r="K105" s="185"/>
      <c r="L105" s="181"/>
      <c r="M105" s="181"/>
      <c r="N105" s="183"/>
      <c r="O105" s="187"/>
      <c r="P105" s="184"/>
      <c r="Q105" s="187"/>
      <c r="R105" s="188"/>
      <c r="S105" s="185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</row>
    <row r="106" spans="6:29" ht="15.75" customHeight="1">
      <c r="F106" s="183"/>
      <c r="G106" s="164"/>
      <c r="H106" s="184"/>
      <c r="I106" s="164"/>
      <c r="J106" s="177"/>
      <c r="K106" s="185"/>
      <c r="L106" s="181"/>
      <c r="M106" s="181"/>
      <c r="N106" s="183"/>
      <c r="O106" s="164"/>
      <c r="P106" s="184"/>
      <c r="Q106" s="164"/>
      <c r="R106" s="177"/>
      <c r="S106" s="185"/>
      <c r="T106" s="181"/>
      <c r="U106" s="181"/>
      <c r="V106" s="181"/>
      <c r="W106" s="181"/>
      <c r="X106" s="181"/>
      <c r="Y106" s="181"/>
      <c r="Z106" s="181"/>
      <c r="AA106" s="181"/>
      <c r="AB106" s="181"/>
      <c r="AC106" s="181"/>
    </row>
    <row r="107" spans="6:29" ht="15.75" customHeight="1">
      <c r="F107" s="183"/>
      <c r="G107" s="182"/>
      <c r="H107" s="184"/>
      <c r="I107" s="182"/>
      <c r="J107" s="186"/>
      <c r="K107" s="185"/>
      <c r="L107" s="181"/>
      <c r="M107" s="181"/>
      <c r="N107" s="183"/>
      <c r="O107" s="187"/>
      <c r="P107" s="184"/>
      <c r="Q107" s="187"/>
      <c r="R107" s="188"/>
      <c r="S107" s="185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1"/>
    </row>
    <row r="108" spans="6:29" ht="15.75" customHeight="1">
      <c r="F108" s="183"/>
      <c r="G108" s="164"/>
      <c r="H108" s="184"/>
      <c r="I108" s="164"/>
      <c r="J108" s="177"/>
      <c r="K108" s="185"/>
      <c r="L108" s="181"/>
      <c r="M108" s="181"/>
      <c r="N108" s="183"/>
      <c r="O108" s="187"/>
      <c r="P108" s="184"/>
      <c r="Q108" s="187"/>
      <c r="R108" s="188"/>
      <c r="S108" s="185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</row>
    <row r="109" spans="6:29" ht="15.75" customHeight="1">
      <c r="F109" s="183"/>
      <c r="G109" s="187"/>
      <c r="H109" s="184"/>
      <c r="I109" s="187"/>
      <c r="J109" s="188"/>
      <c r="K109" s="185"/>
      <c r="L109" s="181"/>
      <c r="M109" s="181"/>
      <c r="N109" s="183"/>
      <c r="O109" s="164"/>
      <c r="P109" s="184"/>
      <c r="Q109" s="164"/>
      <c r="R109" s="177"/>
      <c r="S109" s="185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</row>
    <row r="110" spans="6:29" ht="15.75" customHeight="1">
      <c r="F110" s="183"/>
      <c r="G110" s="164"/>
      <c r="H110" s="184"/>
      <c r="I110" s="164"/>
      <c r="J110" s="177"/>
      <c r="K110" s="185"/>
      <c r="L110" s="181"/>
      <c r="M110" s="181"/>
      <c r="N110" s="183"/>
      <c r="O110" s="182"/>
      <c r="P110" s="184"/>
      <c r="Q110" s="182"/>
      <c r="R110" s="186"/>
      <c r="S110" s="185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</row>
    <row r="111" spans="6:29" ht="15.75" customHeight="1">
      <c r="F111" s="183"/>
      <c r="G111" s="182"/>
      <c r="H111" s="184"/>
      <c r="I111" s="182"/>
      <c r="J111" s="186"/>
      <c r="K111" s="185"/>
      <c r="L111" s="181"/>
      <c r="M111" s="181"/>
      <c r="N111" s="183"/>
      <c r="O111" s="164"/>
      <c r="P111" s="184"/>
      <c r="Q111" s="164"/>
      <c r="R111" s="177"/>
      <c r="S111" s="185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</row>
    <row r="112" spans="6:29" ht="15.75" customHeight="1">
      <c r="F112" s="183"/>
      <c r="G112" s="164"/>
      <c r="H112" s="184"/>
      <c r="I112" s="164"/>
      <c r="J112" s="177"/>
      <c r="K112" s="185"/>
      <c r="L112" s="181"/>
      <c r="M112" s="181"/>
      <c r="N112" s="183"/>
      <c r="O112" s="187"/>
      <c r="P112" s="184"/>
      <c r="Q112" s="187"/>
      <c r="R112" s="188"/>
      <c r="S112" s="185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</row>
    <row r="113" spans="6:29" ht="15.75" customHeight="1">
      <c r="F113" s="183"/>
      <c r="G113" s="182"/>
      <c r="H113" s="184"/>
      <c r="I113" s="182"/>
      <c r="J113" s="186"/>
      <c r="K113" s="185"/>
      <c r="L113" s="181"/>
      <c r="M113" s="181"/>
      <c r="N113" s="183"/>
      <c r="O113" s="164"/>
      <c r="P113" s="184"/>
      <c r="Q113" s="164"/>
      <c r="R113" s="177"/>
      <c r="S113" s="185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</row>
    <row r="114" spans="6:29" ht="15.75" customHeight="1">
      <c r="F114" s="183"/>
      <c r="G114" s="187"/>
      <c r="H114" s="184"/>
      <c r="I114" s="187"/>
      <c r="J114" s="188"/>
      <c r="K114" s="185"/>
      <c r="L114" s="181"/>
      <c r="M114" s="181"/>
      <c r="N114" s="183"/>
      <c r="O114" s="187"/>
      <c r="P114" s="184"/>
      <c r="Q114" s="187"/>
      <c r="R114" s="188"/>
      <c r="S114" s="185"/>
      <c r="T114" s="181"/>
      <c r="U114" s="181"/>
      <c r="V114" s="181"/>
      <c r="W114" s="181"/>
      <c r="X114" s="181"/>
      <c r="Y114" s="181"/>
      <c r="Z114" s="181"/>
      <c r="AA114" s="181"/>
      <c r="AB114" s="181"/>
      <c r="AC114" s="181"/>
    </row>
    <row r="115" spans="6:29" ht="15.75" customHeight="1">
      <c r="F115" s="194"/>
      <c r="G115" s="189"/>
      <c r="H115" s="190"/>
      <c r="I115" s="189"/>
      <c r="J115" s="191"/>
      <c r="K115" s="192"/>
      <c r="L115" s="181"/>
      <c r="M115" s="181"/>
      <c r="N115" s="183"/>
      <c r="O115" s="164"/>
      <c r="P115" s="184"/>
      <c r="Q115" s="164"/>
      <c r="R115" s="177"/>
      <c r="S115" s="185"/>
      <c r="T115" s="181"/>
      <c r="U115" s="181"/>
      <c r="V115" s="181"/>
      <c r="W115" s="181"/>
      <c r="X115" s="181"/>
      <c r="Y115" s="181"/>
      <c r="Z115" s="181"/>
      <c r="AA115" s="181"/>
      <c r="AB115" s="181"/>
      <c r="AC115" s="181"/>
    </row>
    <row r="116" spans="6:29" ht="15.75" customHeight="1">
      <c r="F116" s="181"/>
      <c r="G116" s="181"/>
      <c r="H116" s="181"/>
      <c r="I116" s="181"/>
      <c r="J116" s="181"/>
      <c r="K116" s="181"/>
      <c r="L116" s="181"/>
      <c r="M116" s="181"/>
      <c r="N116" s="183"/>
      <c r="O116" s="182"/>
      <c r="P116" s="184"/>
      <c r="Q116" s="182"/>
      <c r="R116" s="186"/>
      <c r="S116" s="185"/>
      <c r="T116" s="181"/>
      <c r="U116" s="181"/>
      <c r="V116" s="181"/>
      <c r="W116" s="181"/>
      <c r="X116" s="181"/>
      <c r="Y116" s="181"/>
      <c r="Z116" s="181"/>
      <c r="AA116" s="181"/>
      <c r="AB116" s="181"/>
      <c r="AC116" s="181"/>
    </row>
    <row r="117" spans="6:29" ht="15.75" customHeight="1">
      <c r="F117" s="181"/>
      <c r="G117" s="181"/>
      <c r="H117" s="181"/>
      <c r="I117" s="181"/>
      <c r="J117" s="181"/>
      <c r="K117" s="181"/>
      <c r="L117" s="181"/>
      <c r="M117" s="181"/>
      <c r="N117" s="183"/>
      <c r="O117" s="164"/>
      <c r="P117" s="184"/>
      <c r="Q117" s="164"/>
      <c r="R117" s="177"/>
      <c r="S117" s="185"/>
      <c r="T117" s="181"/>
      <c r="U117" s="181"/>
      <c r="V117" s="181"/>
      <c r="W117" s="181"/>
      <c r="X117" s="181"/>
      <c r="Y117" s="181"/>
      <c r="Z117" s="181"/>
      <c r="AA117" s="181"/>
      <c r="AB117" s="181"/>
      <c r="AC117" s="181"/>
    </row>
    <row r="118" spans="6:29" ht="15.75" customHeight="1">
      <c r="F118" s="181"/>
      <c r="G118" s="181"/>
      <c r="H118" s="181"/>
      <c r="I118" s="181"/>
      <c r="J118" s="181"/>
      <c r="K118" s="181"/>
      <c r="L118" s="181"/>
      <c r="M118" s="181"/>
      <c r="N118" s="183"/>
      <c r="O118" s="187"/>
      <c r="P118" s="184"/>
      <c r="Q118" s="187"/>
      <c r="R118" s="188"/>
      <c r="S118" s="185"/>
      <c r="T118" s="181"/>
      <c r="U118" s="181"/>
      <c r="V118" s="181"/>
      <c r="W118" s="181"/>
      <c r="X118" s="181"/>
      <c r="Y118" s="181"/>
      <c r="Z118" s="181"/>
      <c r="AA118" s="181"/>
      <c r="AB118" s="181"/>
      <c r="AC118" s="181"/>
    </row>
    <row r="119" spans="6:29" ht="15.75" customHeight="1">
      <c r="F119" s="181"/>
      <c r="G119" s="181"/>
      <c r="H119" s="181"/>
      <c r="I119" s="181"/>
      <c r="J119" s="181"/>
      <c r="K119" s="181"/>
      <c r="L119" s="181"/>
      <c r="M119" s="181"/>
      <c r="N119" s="183"/>
      <c r="O119" s="164"/>
      <c r="P119" s="184"/>
      <c r="Q119" s="164"/>
      <c r="R119" s="177"/>
      <c r="S119" s="185"/>
      <c r="T119" s="181"/>
      <c r="U119" s="181"/>
      <c r="V119" s="181"/>
      <c r="W119" s="181"/>
      <c r="X119" s="181"/>
      <c r="Y119" s="181"/>
      <c r="Z119" s="181"/>
      <c r="AA119" s="181"/>
      <c r="AB119" s="181"/>
      <c r="AC119" s="181"/>
    </row>
    <row r="120" spans="6:29" ht="15.75" customHeight="1">
      <c r="F120" s="181"/>
      <c r="G120" s="181"/>
      <c r="H120" s="181"/>
      <c r="I120" s="181"/>
      <c r="J120" s="181"/>
      <c r="K120" s="181"/>
      <c r="L120" s="181"/>
      <c r="M120" s="181"/>
      <c r="N120" s="183"/>
      <c r="O120" s="187"/>
      <c r="P120" s="184"/>
      <c r="Q120" s="187"/>
      <c r="R120" s="188"/>
      <c r="S120" s="185"/>
      <c r="T120" s="181"/>
      <c r="U120" s="181"/>
      <c r="V120" s="181"/>
      <c r="W120" s="181"/>
      <c r="X120" s="181"/>
      <c r="Y120" s="181"/>
      <c r="Z120" s="181"/>
      <c r="AA120" s="181"/>
      <c r="AB120" s="181"/>
      <c r="AC120" s="181"/>
    </row>
    <row r="121" spans="6:29" ht="15.75" customHeight="1">
      <c r="F121" s="181"/>
      <c r="G121" s="181"/>
      <c r="H121" s="181"/>
      <c r="I121" s="181"/>
      <c r="J121" s="181"/>
      <c r="K121" s="181"/>
      <c r="L121" s="181"/>
      <c r="M121" s="181"/>
      <c r="N121" s="183"/>
      <c r="O121" s="164"/>
      <c r="P121" s="184"/>
      <c r="Q121" s="164"/>
      <c r="R121" s="177"/>
      <c r="S121" s="185"/>
      <c r="T121" s="181"/>
      <c r="U121" s="181"/>
      <c r="V121" s="181"/>
      <c r="W121" s="181"/>
      <c r="X121" s="181"/>
      <c r="Y121" s="181"/>
      <c r="Z121" s="181"/>
      <c r="AA121" s="181"/>
      <c r="AB121" s="181"/>
      <c r="AC121" s="181"/>
    </row>
    <row r="122" spans="6:29" ht="15.75" customHeight="1">
      <c r="F122" s="181"/>
      <c r="G122" s="181"/>
      <c r="H122" s="181"/>
      <c r="I122" s="181"/>
      <c r="J122" s="181"/>
      <c r="K122" s="181"/>
      <c r="L122" s="181"/>
      <c r="M122" s="181"/>
      <c r="N122" s="183"/>
      <c r="O122" s="187"/>
      <c r="P122" s="184"/>
      <c r="Q122" s="187"/>
      <c r="R122" s="188"/>
      <c r="S122" s="185"/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</row>
    <row r="123" spans="6:29" ht="15.75" customHeight="1">
      <c r="F123" s="181"/>
      <c r="G123" s="181"/>
      <c r="H123" s="181"/>
      <c r="I123" s="181"/>
      <c r="J123" s="181"/>
      <c r="K123" s="181"/>
      <c r="L123" s="181"/>
      <c r="M123" s="181"/>
      <c r="N123" s="183"/>
      <c r="O123" s="164"/>
      <c r="P123" s="184"/>
      <c r="Q123" s="164"/>
      <c r="R123" s="177"/>
      <c r="S123" s="185"/>
      <c r="T123" s="181"/>
      <c r="U123" s="181"/>
      <c r="V123" s="181"/>
      <c r="W123" s="181"/>
      <c r="X123" s="181"/>
      <c r="Y123" s="181"/>
      <c r="Z123" s="181"/>
      <c r="AA123" s="181"/>
      <c r="AB123" s="181"/>
      <c r="AC123" s="181"/>
    </row>
    <row r="124" spans="6:29" ht="15.75" customHeight="1">
      <c r="F124" s="181"/>
      <c r="G124" s="181"/>
      <c r="H124" s="181"/>
      <c r="I124" s="181"/>
      <c r="J124" s="181"/>
      <c r="K124" s="181"/>
      <c r="L124" s="181"/>
      <c r="M124" s="181"/>
      <c r="N124" s="183"/>
      <c r="O124" s="182"/>
      <c r="P124" s="184"/>
      <c r="Q124" s="182"/>
      <c r="R124" s="186"/>
      <c r="S124" s="185"/>
      <c r="T124" s="181"/>
      <c r="U124" s="181"/>
      <c r="V124" s="181"/>
      <c r="W124" s="181"/>
      <c r="X124" s="181"/>
      <c r="Y124" s="181"/>
      <c r="Z124" s="181"/>
      <c r="AA124" s="181"/>
      <c r="AB124" s="181"/>
      <c r="AC124" s="181"/>
    </row>
    <row r="125" spans="6:29" ht="15.75" customHeight="1">
      <c r="F125" s="181"/>
      <c r="G125" s="181"/>
      <c r="H125" s="181"/>
      <c r="I125" s="181"/>
      <c r="J125" s="181"/>
      <c r="K125" s="181"/>
      <c r="L125" s="181"/>
      <c r="M125" s="181"/>
      <c r="N125" s="183"/>
      <c r="O125" s="164"/>
      <c r="P125" s="184"/>
      <c r="Q125" s="164"/>
      <c r="R125" s="177"/>
      <c r="S125" s="185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</row>
    <row r="126" spans="6:29" ht="15.75" customHeight="1">
      <c r="F126" s="181"/>
      <c r="G126" s="181"/>
      <c r="H126" s="181"/>
      <c r="I126" s="181"/>
      <c r="J126" s="181"/>
      <c r="K126" s="181"/>
      <c r="L126" s="181"/>
      <c r="M126" s="181"/>
      <c r="N126" s="183"/>
      <c r="O126" s="187"/>
      <c r="P126" s="184"/>
      <c r="Q126" s="187"/>
      <c r="R126" s="188"/>
      <c r="S126" s="185"/>
      <c r="T126" s="181"/>
      <c r="U126" s="181"/>
      <c r="V126" s="181"/>
      <c r="W126" s="181"/>
      <c r="X126" s="181"/>
      <c r="Y126" s="181"/>
      <c r="Z126" s="181"/>
      <c r="AA126" s="181"/>
      <c r="AB126" s="181"/>
      <c r="AC126" s="181"/>
    </row>
    <row r="127" spans="6:29" ht="15.75" customHeight="1">
      <c r="F127" s="181"/>
      <c r="G127" s="181"/>
      <c r="H127" s="181"/>
      <c r="I127" s="181"/>
      <c r="J127" s="181"/>
      <c r="K127" s="181"/>
      <c r="L127" s="181"/>
      <c r="M127" s="181"/>
      <c r="N127" s="183"/>
      <c r="O127" s="164"/>
      <c r="P127" s="184"/>
      <c r="Q127" s="164"/>
      <c r="R127" s="177"/>
      <c r="S127" s="185"/>
      <c r="T127" s="181"/>
      <c r="U127" s="181"/>
      <c r="V127" s="181"/>
      <c r="W127" s="181"/>
      <c r="X127" s="181"/>
      <c r="Y127" s="181"/>
      <c r="Z127" s="181"/>
      <c r="AA127" s="181"/>
      <c r="AB127" s="181"/>
      <c r="AC127" s="181"/>
    </row>
    <row r="128" spans="6:29" ht="15.75" customHeight="1">
      <c r="F128" s="181"/>
      <c r="G128" s="181"/>
      <c r="H128" s="181"/>
      <c r="I128" s="181"/>
      <c r="J128" s="181"/>
      <c r="K128" s="181"/>
      <c r="L128" s="181"/>
      <c r="M128" s="181"/>
      <c r="N128" s="183"/>
      <c r="O128" s="187"/>
      <c r="P128" s="184"/>
      <c r="Q128" s="187"/>
      <c r="R128" s="188"/>
      <c r="S128" s="185"/>
      <c r="T128" s="181"/>
      <c r="U128" s="181"/>
      <c r="V128" s="181"/>
      <c r="W128" s="181"/>
      <c r="X128" s="181"/>
      <c r="Y128" s="181"/>
      <c r="Z128" s="181"/>
      <c r="AA128" s="181"/>
      <c r="AB128" s="181"/>
      <c r="AC128" s="181"/>
    </row>
    <row r="129" spans="6:29" ht="15.75" customHeight="1">
      <c r="F129" s="181"/>
      <c r="G129" s="181"/>
      <c r="H129" s="181"/>
      <c r="I129" s="181"/>
      <c r="J129" s="181"/>
      <c r="K129" s="181"/>
      <c r="L129" s="181"/>
      <c r="M129" s="181"/>
      <c r="N129" s="183"/>
      <c r="O129" s="164"/>
      <c r="P129" s="184"/>
      <c r="Q129" s="164"/>
      <c r="R129" s="177"/>
      <c r="S129" s="185"/>
      <c r="T129" s="181"/>
      <c r="U129" s="181"/>
      <c r="V129" s="181"/>
      <c r="W129" s="181"/>
      <c r="X129" s="181"/>
      <c r="Y129" s="181"/>
      <c r="Z129" s="181"/>
      <c r="AA129" s="181"/>
      <c r="AB129" s="181"/>
      <c r="AC129" s="181"/>
    </row>
    <row r="130" spans="6:29" ht="15.75" customHeight="1">
      <c r="F130" s="181"/>
      <c r="G130" s="181"/>
      <c r="H130" s="181"/>
      <c r="I130" s="181"/>
      <c r="J130" s="181"/>
      <c r="K130" s="181"/>
      <c r="L130" s="181"/>
      <c r="M130" s="181"/>
      <c r="N130" s="183"/>
      <c r="O130" s="182"/>
      <c r="P130" s="184"/>
      <c r="Q130" s="182"/>
      <c r="R130" s="186"/>
      <c r="S130" s="185"/>
      <c r="T130" s="181"/>
      <c r="U130" s="181"/>
      <c r="V130" s="181"/>
      <c r="W130" s="181"/>
      <c r="X130" s="181"/>
      <c r="Y130" s="181"/>
      <c r="Z130" s="181"/>
      <c r="AA130" s="181"/>
      <c r="AB130" s="181"/>
      <c r="AC130" s="181"/>
    </row>
    <row r="131" spans="6:29" ht="15.75" customHeight="1">
      <c r="F131" s="181"/>
      <c r="G131" s="181"/>
      <c r="H131" s="181"/>
      <c r="I131" s="181"/>
      <c r="J131" s="181"/>
      <c r="K131" s="181"/>
      <c r="L131" s="181"/>
      <c r="M131" s="181"/>
      <c r="N131" s="183"/>
      <c r="O131" s="164"/>
      <c r="P131" s="184"/>
      <c r="Q131" s="164"/>
      <c r="R131" s="177"/>
      <c r="S131" s="185"/>
      <c r="T131" s="181"/>
      <c r="U131" s="181"/>
      <c r="V131" s="181"/>
      <c r="W131" s="181"/>
      <c r="X131" s="181"/>
      <c r="Y131" s="181"/>
      <c r="Z131" s="181"/>
      <c r="AA131" s="181"/>
      <c r="AB131" s="181"/>
      <c r="AC131" s="181"/>
    </row>
    <row r="132" spans="6:29" ht="15.75" customHeight="1">
      <c r="F132" s="181"/>
      <c r="G132" s="181"/>
      <c r="H132" s="181"/>
      <c r="I132" s="181"/>
      <c r="J132" s="181"/>
      <c r="K132" s="181"/>
      <c r="L132" s="181"/>
      <c r="M132" s="181"/>
      <c r="N132" s="183"/>
      <c r="O132" s="187"/>
      <c r="P132" s="184"/>
      <c r="Q132" s="187"/>
      <c r="R132" s="188"/>
      <c r="S132" s="185"/>
      <c r="T132" s="181"/>
      <c r="U132" s="181"/>
      <c r="V132" s="181"/>
      <c r="W132" s="181"/>
      <c r="X132" s="181"/>
      <c r="Y132" s="181"/>
      <c r="Z132" s="181"/>
      <c r="AA132" s="181"/>
      <c r="AB132" s="181"/>
      <c r="AC132" s="181"/>
    </row>
    <row r="133" spans="6:29" ht="15.75" customHeight="1">
      <c r="F133" s="181"/>
      <c r="G133" s="181"/>
      <c r="H133" s="181"/>
      <c r="I133" s="181"/>
      <c r="J133" s="181"/>
      <c r="K133" s="181"/>
      <c r="L133" s="181"/>
      <c r="M133" s="181"/>
      <c r="N133" s="183"/>
      <c r="O133" s="164"/>
      <c r="P133" s="184"/>
      <c r="Q133" s="164"/>
      <c r="R133" s="177"/>
      <c r="S133" s="185"/>
      <c r="T133" s="181"/>
      <c r="U133" s="181"/>
      <c r="V133" s="181"/>
      <c r="W133" s="181"/>
      <c r="X133" s="181"/>
      <c r="Y133" s="181"/>
      <c r="Z133" s="181"/>
      <c r="AA133" s="181"/>
      <c r="AB133" s="181"/>
      <c r="AC133" s="181"/>
    </row>
    <row r="134" spans="6:29" ht="15.75" customHeight="1">
      <c r="F134" s="181"/>
      <c r="G134" s="181"/>
      <c r="H134" s="181"/>
      <c r="I134" s="181"/>
      <c r="J134" s="181"/>
      <c r="K134" s="181"/>
      <c r="L134" s="181"/>
      <c r="M134" s="181"/>
      <c r="N134" s="183"/>
      <c r="O134" s="187"/>
      <c r="P134" s="184"/>
      <c r="Q134" s="187"/>
      <c r="R134" s="188"/>
      <c r="S134" s="185"/>
      <c r="T134" s="181"/>
      <c r="U134" s="181"/>
      <c r="V134" s="181"/>
      <c r="W134" s="181"/>
      <c r="X134" s="181"/>
      <c r="Y134" s="181"/>
      <c r="Z134" s="181"/>
      <c r="AA134" s="181"/>
      <c r="AB134" s="181"/>
      <c r="AC134" s="181"/>
    </row>
    <row r="135" spans="6:29" ht="15.75" customHeight="1">
      <c r="F135" s="181"/>
      <c r="G135" s="181"/>
      <c r="H135" s="181"/>
      <c r="I135" s="181"/>
      <c r="J135" s="181"/>
      <c r="K135" s="181"/>
      <c r="L135" s="181"/>
      <c r="M135" s="181"/>
      <c r="N135" s="183"/>
      <c r="O135" s="164"/>
      <c r="P135" s="184"/>
      <c r="Q135" s="164"/>
      <c r="R135" s="177"/>
      <c r="S135" s="185"/>
      <c r="T135" s="181"/>
      <c r="U135" s="181"/>
      <c r="V135" s="181"/>
      <c r="W135" s="181"/>
      <c r="X135" s="181"/>
      <c r="Y135" s="181"/>
      <c r="Z135" s="181"/>
      <c r="AA135" s="181"/>
      <c r="AB135" s="181"/>
      <c r="AC135" s="181"/>
    </row>
    <row r="136" spans="6:29" ht="15.75" customHeight="1">
      <c r="F136" s="181"/>
      <c r="G136" s="181"/>
      <c r="H136" s="181"/>
      <c r="I136" s="181"/>
      <c r="J136" s="181"/>
      <c r="K136" s="181"/>
      <c r="L136" s="181"/>
      <c r="M136" s="181"/>
      <c r="N136" s="183"/>
      <c r="O136" s="182"/>
      <c r="P136" s="184"/>
      <c r="Q136" s="182"/>
      <c r="R136" s="186"/>
      <c r="S136" s="185"/>
      <c r="T136" s="181"/>
      <c r="U136" s="181"/>
      <c r="V136" s="181"/>
      <c r="W136" s="181"/>
      <c r="X136" s="181"/>
      <c r="Y136" s="181"/>
      <c r="Z136" s="181"/>
      <c r="AA136" s="181"/>
      <c r="AB136" s="181"/>
      <c r="AC136" s="181"/>
    </row>
    <row r="137" spans="6:29" ht="15.75" customHeight="1">
      <c r="F137" s="181"/>
      <c r="G137" s="181"/>
      <c r="H137" s="181"/>
      <c r="I137" s="181"/>
      <c r="J137" s="181"/>
      <c r="K137" s="181"/>
      <c r="L137" s="181"/>
      <c r="M137" s="181"/>
      <c r="N137" s="183"/>
      <c r="O137" s="164"/>
      <c r="P137" s="184"/>
      <c r="Q137" s="164"/>
      <c r="R137" s="177"/>
      <c r="S137" s="185"/>
      <c r="T137" s="181"/>
      <c r="U137" s="181"/>
      <c r="V137" s="181"/>
      <c r="W137" s="181"/>
      <c r="X137" s="181"/>
      <c r="Y137" s="181"/>
      <c r="Z137" s="181"/>
      <c r="AA137" s="181"/>
      <c r="AB137" s="181"/>
      <c r="AC137" s="181"/>
    </row>
    <row r="138" spans="6:29" ht="15.75" customHeight="1">
      <c r="F138" s="181"/>
      <c r="G138" s="181"/>
      <c r="H138" s="181"/>
      <c r="I138" s="181"/>
      <c r="J138" s="181"/>
      <c r="K138" s="181"/>
      <c r="L138" s="181"/>
      <c r="M138" s="181"/>
      <c r="N138" s="183"/>
      <c r="O138" s="187"/>
      <c r="P138" s="184"/>
      <c r="Q138" s="187"/>
      <c r="R138" s="188"/>
      <c r="S138" s="185"/>
      <c r="T138" s="181"/>
      <c r="U138" s="181"/>
      <c r="V138" s="181"/>
      <c r="W138" s="181"/>
      <c r="X138" s="181"/>
      <c r="Y138" s="181"/>
      <c r="Z138" s="181"/>
      <c r="AA138" s="181"/>
      <c r="AB138" s="181"/>
      <c r="AC138" s="181"/>
    </row>
    <row r="139" spans="6:29" ht="15.75" customHeight="1">
      <c r="F139" s="181"/>
      <c r="G139" s="181"/>
      <c r="H139" s="181"/>
      <c r="I139" s="181"/>
      <c r="J139" s="181"/>
      <c r="K139" s="181"/>
      <c r="L139" s="181"/>
      <c r="M139" s="181"/>
      <c r="N139" s="183"/>
      <c r="O139" s="164"/>
      <c r="P139" s="184"/>
      <c r="Q139" s="164"/>
      <c r="R139" s="177"/>
      <c r="S139" s="185"/>
      <c r="T139" s="181"/>
      <c r="U139" s="181"/>
      <c r="V139" s="181"/>
      <c r="W139" s="181"/>
      <c r="X139" s="181"/>
      <c r="Y139" s="181"/>
      <c r="Z139" s="181"/>
      <c r="AA139" s="181"/>
      <c r="AB139" s="181"/>
      <c r="AC139" s="181"/>
    </row>
    <row r="140" spans="6:29" ht="15.75" customHeight="1">
      <c r="F140" s="181"/>
      <c r="G140" s="181"/>
      <c r="H140" s="181"/>
      <c r="I140" s="181"/>
      <c r="J140" s="181"/>
      <c r="K140" s="181"/>
      <c r="L140" s="181"/>
      <c r="M140" s="181"/>
      <c r="N140" s="183"/>
      <c r="O140" s="187"/>
      <c r="P140" s="184"/>
      <c r="Q140" s="187"/>
      <c r="R140" s="188"/>
      <c r="S140" s="185"/>
      <c r="T140" s="181"/>
      <c r="U140" s="181"/>
      <c r="V140" s="181"/>
      <c r="W140" s="181"/>
      <c r="X140" s="181"/>
      <c r="Y140" s="181"/>
      <c r="Z140" s="181"/>
      <c r="AA140" s="181"/>
      <c r="AB140" s="181"/>
      <c r="AC140" s="181"/>
    </row>
    <row r="141" spans="6:29" ht="15.75" customHeight="1">
      <c r="F141" s="181"/>
      <c r="G141" s="181"/>
      <c r="H141" s="181"/>
      <c r="I141" s="181"/>
      <c r="J141" s="181"/>
      <c r="K141" s="181"/>
      <c r="L141" s="181"/>
      <c r="M141" s="181"/>
      <c r="N141" s="183"/>
      <c r="O141" s="164"/>
      <c r="P141" s="184"/>
      <c r="Q141" s="164"/>
      <c r="R141" s="177"/>
      <c r="S141" s="185"/>
      <c r="T141" s="181"/>
      <c r="U141" s="181"/>
      <c r="V141" s="181"/>
      <c r="W141" s="181"/>
      <c r="X141" s="181"/>
      <c r="Y141" s="181"/>
      <c r="Z141" s="181"/>
      <c r="AA141" s="181"/>
      <c r="AB141" s="181"/>
      <c r="AC141" s="181"/>
    </row>
    <row r="142" spans="6:29" ht="15.75" customHeight="1">
      <c r="F142" s="181"/>
      <c r="G142" s="181"/>
      <c r="H142" s="181"/>
      <c r="I142" s="181"/>
      <c r="J142" s="181"/>
      <c r="K142" s="181"/>
      <c r="L142" s="181"/>
      <c r="M142" s="181"/>
      <c r="N142" s="183"/>
      <c r="O142" s="182"/>
      <c r="P142" s="184"/>
      <c r="Q142" s="182"/>
      <c r="R142" s="186"/>
      <c r="S142" s="185"/>
      <c r="T142" s="181"/>
      <c r="U142" s="181"/>
      <c r="V142" s="181"/>
      <c r="W142" s="181"/>
      <c r="X142" s="181"/>
      <c r="Y142" s="181"/>
      <c r="Z142" s="181"/>
      <c r="AA142" s="181"/>
      <c r="AB142" s="181"/>
      <c r="AC142" s="181"/>
    </row>
    <row r="143" spans="6:29" ht="15.75" customHeight="1">
      <c r="F143" s="181"/>
      <c r="G143" s="181"/>
      <c r="H143" s="181"/>
      <c r="I143" s="181"/>
      <c r="J143" s="181"/>
      <c r="K143" s="181"/>
      <c r="L143" s="181"/>
      <c r="M143" s="181"/>
      <c r="N143" s="183"/>
      <c r="O143" s="187"/>
      <c r="P143" s="184"/>
      <c r="Q143" s="187"/>
      <c r="R143" s="188"/>
      <c r="S143" s="185"/>
      <c r="T143" s="181"/>
      <c r="U143" s="181"/>
      <c r="V143" s="181"/>
      <c r="W143" s="181"/>
      <c r="X143" s="181"/>
      <c r="Y143" s="181"/>
      <c r="Z143" s="181"/>
      <c r="AA143" s="181"/>
      <c r="AB143" s="181"/>
      <c r="AC143" s="181"/>
    </row>
    <row r="144" spans="6:29" ht="15.75" customHeight="1">
      <c r="F144" s="181"/>
      <c r="G144" s="181"/>
      <c r="H144" s="181"/>
      <c r="I144" s="181"/>
      <c r="J144" s="181"/>
      <c r="K144" s="181"/>
      <c r="L144" s="181"/>
      <c r="M144" s="181"/>
      <c r="N144" s="183"/>
      <c r="O144" s="164"/>
      <c r="P144" s="184"/>
      <c r="Q144" s="164"/>
      <c r="R144" s="177"/>
      <c r="S144" s="185"/>
      <c r="T144" s="181"/>
      <c r="U144" s="181"/>
      <c r="V144" s="181"/>
      <c r="W144" s="181"/>
      <c r="X144" s="181"/>
      <c r="Y144" s="181"/>
      <c r="Z144" s="181"/>
      <c r="AA144" s="181"/>
      <c r="AB144" s="181"/>
      <c r="AC144" s="181"/>
    </row>
    <row r="145" spans="6:29" ht="15.75" customHeight="1">
      <c r="F145" s="181"/>
      <c r="G145" s="181"/>
      <c r="H145" s="181"/>
      <c r="I145" s="181"/>
      <c r="J145" s="181"/>
      <c r="K145" s="181"/>
      <c r="L145" s="181"/>
      <c r="M145" s="181"/>
      <c r="N145" s="183"/>
      <c r="O145" s="182"/>
      <c r="P145" s="184"/>
      <c r="Q145" s="182"/>
      <c r="R145" s="186"/>
      <c r="S145" s="185"/>
      <c r="T145" s="181"/>
      <c r="U145" s="181"/>
      <c r="V145" s="181"/>
      <c r="W145" s="181"/>
      <c r="X145" s="181"/>
      <c r="Y145" s="181"/>
      <c r="Z145" s="181"/>
      <c r="AA145" s="181"/>
      <c r="AB145" s="181"/>
      <c r="AC145" s="181"/>
    </row>
    <row r="146" spans="6:29" ht="15.75" customHeight="1">
      <c r="F146" s="181"/>
      <c r="G146" s="181"/>
      <c r="H146" s="181"/>
      <c r="I146" s="181"/>
      <c r="J146" s="181"/>
      <c r="K146" s="181"/>
      <c r="L146" s="181"/>
      <c r="M146" s="181"/>
      <c r="N146" s="183"/>
      <c r="O146" s="164"/>
      <c r="P146" s="184"/>
      <c r="Q146" s="164"/>
      <c r="R146" s="177"/>
      <c r="S146" s="185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</row>
    <row r="147" spans="6:29" ht="15.75" customHeight="1">
      <c r="F147" s="181"/>
      <c r="G147" s="181"/>
      <c r="H147" s="181"/>
      <c r="I147" s="181"/>
      <c r="J147" s="181"/>
      <c r="K147" s="181"/>
      <c r="L147" s="181"/>
      <c r="M147" s="181"/>
      <c r="N147" s="183"/>
      <c r="O147" s="187"/>
      <c r="P147" s="184"/>
      <c r="Q147" s="187"/>
      <c r="R147" s="188"/>
      <c r="S147" s="185"/>
      <c r="T147" s="181"/>
      <c r="U147" s="181"/>
      <c r="V147" s="181"/>
      <c r="W147" s="181"/>
      <c r="X147" s="181"/>
      <c r="Y147" s="181"/>
      <c r="Z147" s="181"/>
      <c r="AA147" s="181"/>
      <c r="AB147" s="181"/>
      <c r="AC147" s="181"/>
    </row>
    <row r="148" spans="6:29" ht="15.75" customHeight="1">
      <c r="F148" s="181"/>
      <c r="G148" s="181"/>
      <c r="H148" s="181"/>
      <c r="I148" s="181"/>
      <c r="J148" s="181"/>
      <c r="K148" s="181"/>
      <c r="L148" s="181"/>
      <c r="M148" s="181"/>
      <c r="N148" s="183"/>
      <c r="O148" s="164"/>
      <c r="P148" s="184"/>
      <c r="Q148" s="164"/>
      <c r="R148" s="177"/>
      <c r="S148" s="185"/>
      <c r="T148" s="181"/>
      <c r="U148" s="181"/>
      <c r="V148" s="181"/>
      <c r="W148" s="181"/>
      <c r="X148" s="181"/>
      <c r="Y148" s="181"/>
      <c r="Z148" s="181"/>
      <c r="AA148" s="181"/>
      <c r="AB148" s="181"/>
      <c r="AC148" s="181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/>
  <mergeCells count="6">
    <mergeCell ref="B4:C5"/>
    <mergeCell ref="K6:N6"/>
    <mergeCell ref="O6:R6"/>
    <mergeCell ref="E2:K2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AA125"/>
  <sheetViews>
    <sheetView topLeftCell="G7" zoomScale="85" zoomScaleNormal="85" workbookViewId="0">
      <selection activeCell="L13" sqref="L13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5.5703125" style="41" customWidth="1"/>
    <col min="8" max="8" width="4.140625" style="41" customWidth="1"/>
    <col min="9" max="9" width="8.140625" style="41" customWidth="1"/>
    <col min="10" max="10" width="4.140625" style="41" customWidth="1"/>
    <col min="11" max="12" width="35.5703125" style="41" customWidth="1"/>
    <col min="13" max="13" width="4.140625" style="41" customWidth="1"/>
    <col min="14" max="14" width="2.85546875" style="41" customWidth="1"/>
    <col min="15" max="15" width="6.42578125" style="41" customWidth="1"/>
    <col min="16" max="16" width="30.85546875" style="41" customWidth="1"/>
    <col min="17" max="17" width="3.5703125" style="41" customWidth="1"/>
    <col min="18" max="18" width="12.5703125" style="41"/>
    <col min="19" max="19" width="23" style="41" customWidth="1"/>
    <col min="20" max="20" width="5.7109375" style="41" customWidth="1"/>
    <col min="21" max="21" width="12.5703125" style="41"/>
    <col min="22" max="22" width="21.140625" style="41" customWidth="1"/>
    <col min="23" max="23" width="6.28515625" style="41" customWidth="1"/>
    <col min="24" max="24" width="12.5703125" style="41"/>
    <col min="25" max="25" width="24.28515625" style="41" customWidth="1"/>
    <col min="26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02" t="s">
        <v>83</v>
      </c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199" t="s">
        <v>72</v>
      </c>
      <c r="C4" s="19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199"/>
      <c r="C5" s="199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26"/>
      <c r="I6" s="82"/>
      <c r="J6" s="121"/>
      <c r="K6" s="160"/>
      <c r="L6" s="125"/>
      <c r="M6" s="126"/>
      <c r="N6" s="195"/>
    </row>
    <row r="7" spans="1:27" ht="18.95" customHeight="1">
      <c r="A7" s="62"/>
      <c r="B7" s="62"/>
      <c r="C7" s="99" t="s">
        <v>38</v>
      </c>
      <c r="D7" s="81"/>
      <c r="E7" s="120"/>
      <c r="F7" s="223" t="s">
        <v>41</v>
      </c>
      <c r="G7" s="223"/>
      <c r="H7" s="127"/>
      <c r="I7" s="155"/>
      <c r="J7" s="120"/>
      <c r="K7" s="223" t="s">
        <v>96</v>
      </c>
      <c r="L7" s="223"/>
      <c r="M7" s="127"/>
      <c r="N7" s="81"/>
    </row>
    <row r="8" spans="1:27" ht="20.100000000000001" customHeight="1">
      <c r="A8" s="62"/>
      <c r="B8" s="62"/>
      <c r="C8" s="99" t="s">
        <v>39</v>
      </c>
      <c r="D8" s="81"/>
      <c r="E8" s="128"/>
      <c r="F8" s="124" t="s">
        <v>84</v>
      </c>
      <c r="G8" s="138" t="e">
        <f>#REF!</f>
        <v>#REF!</v>
      </c>
      <c r="H8" s="129"/>
      <c r="I8" s="85"/>
      <c r="J8" s="128"/>
      <c r="K8" s="124" t="s">
        <v>84</v>
      </c>
      <c r="L8" s="138" t="str">
        <f ca="1">PENGATURAN!B39</f>
        <v>12 October 2024</v>
      </c>
      <c r="M8" s="129"/>
      <c r="N8" s="193"/>
      <c r="O8" s="224" t="s">
        <v>114</v>
      </c>
      <c r="P8" s="225"/>
      <c r="Q8" s="114"/>
      <c r="R8" s="228" t="s">
        <v>2</v>
      </c>
      <c r="S8" s="229"/>
      <c r="T8" s="87"/>
      <c r="U8" s="224" t="s">
        <v>3</v>
      </c>
      <c r="V8" s="230"/>
      <c r="W8" s="87"/>
      <c r="X8" s="193"/>
      <c r="Y8" s="193"/>
    </row>
    <row r="9" spans="1:27" ht="20.100000000000001" customHeight="1">
      <c r="A9" s="62"/>
      <c r="B9" s="62"/>
      <c r="C9" s="99" t="s">
        <v>40</v>
      </c>
      <c r="D9" s="81"/>
      <c r="E9" s="128"/>
      <c r="F9" s="124" t="s">
        <v>85</v>
      </c>
      <c r="G9" s="140"/>
      <c r="H9" s="129"/>
      <c r="I9" s="172"/>
      <c r="J9" s="128"/>
      <c r="K9" s="124" t="s">
        <v>85</v>
      </c>
      <c r="L9" s="140"/>
      <c r="M9" s="129"/>
      <c r="N9" s="85"/>
      <c r="O9" s="90" t="s">
        <v>68</v>
      </c>
      <c r="P9" s="110" t="s">
        <v>69</v>
      </c>
      <c r="Q9" s="87"/>
      <c r="R9" s="93" t="s">
        <v>68</v>
      </c>
      <c r="S9" s="94" t="s">
        <v>69</v>
      </c>
      <c r="T9" s="87"/>
      <c r="U9" s="90" t="s">
        <v>68</v>
      </c>
      <c r="V9" s="92" t="s">
        <v>69</v>
      </c>
      <c r="W9" s="87"/>
      <c r="X9" s="193"/>
      <c r="Y9" s="193"/>
      <c r="Z9" s="193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24" t="s">
        <v>86</v>
      </c>
      <c r="G10" s="139"/>
      <c r="H10" s="129"/>
      <c r="I10" s="117"/>
      <c r="J10" s="120"/>
      <c r="K10" s="124" t="s">
        <v>86</v>
      </c>
      <c r="L10" s="139"/>
      <c r="M10" s="129"/>
      <c r="N10" s="85"/>
      <c r="O10" s="91">
        <v>0.5</v>
      </c>
      <c r="P10" s="112" t="s">
        <v>70</v>
      </c>
      <c r="Q10" s="87"/>
      <c r="R10" s="95">
        <v>0.5</v>
      </c>
      <c r="S10" s="111" t="s">
        <v>70</v>
      </c>
      <c r="T10" s="87"/>
      <c r="U10" s="91">
        <v>0.5</v>
      </c>
      <c r="V10" s="112" t="s">
        <v>70</v>
      </c>
      <c r="W10" s="87"/>
      <c r="X10" s="193"/>
      <c r="Y10" s="193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24" t="s">
        <v>94</v>
      </c>
      <c r="G11" s="140"/>
      <c r="H11" s="129"/>
      <c r="I11" s="118"/>
      <c r="J11" s="120"/>
      <c r="K11" s="124" t="s">
        <v>94</v>
      </c>
      <c r="L11" s="140"/>
      <c r="M11" s="129"/>
      <c r="N11" s="85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24" t="s">
        <v>95</v>
      </c>
      <c r="G12" s="140"/>
      <c r="H12" s="130"/>
      <c r="I12" s="85"/>
      <c r="J12" s="120"/>
      <c r="K12" s="124" t="s">
        <v>88</v>
      </c>
      <c r="L12" s="140"/>
      <c r="M12" s="130"/>
      <c r="N12" s="85"/>
      <c r="O12" s="224" t="s">
        <v>4</v>
      </c>
      <c r="P12" s="225"/>
      <c r="Q12" s="114"/>
      <c r="R12" s="228" t="s">
        <v>5</v>
      </c>
      <c r="S12" s="229"/>
      <c r="T12" s="87"/>
      <c r="U12" s="224" t="s">
        <v>6</v>
      </c>
      <c r="V12" s="230"/>
      <c r="W12" s="87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88"/>
      <c r="G13" s="119"/>
      <c r="H13" s="129"/>
      <c r="I13" s="85"/>
      <c r="J13" s="120"/>
      <c r="K13" s="124" t="s">
        <v>99</v>
      </c>
      <c r="L13" s="140"/>
      <c r="M13" s="129"/>
      <c r="N13" s="85"/>
      <c r="O13" s="90" t="s">
        <v>68</v>
      </c>
      <c r="P13" s="110" t="s">
        <v>69</v>
      </c>
      <c r="Q13" s="87"/>
      <c r="R13" s="93" t="s">
        <v>68</v>
      </c>
      <c r="S13" s="94" t="s">
        <v>69</v>
      </c>
      <c r="T13" s="87"/>
      <c r="U13" s="90" t="s">
        <v>68</v>
      </c>
      <c r="V13" s="92" t="s">
        <v>69</v>
      </c>
      <c r="W13" s="87"/>
      <c r="X13" s="193"/>
      <c r="Y13" s="193"/>
      <c r="Z13" s="80"/>
      <c r="AA13" s="80"/>
    </row>
    <row r="14" spans="1:27" ht="15.75" customHeight="1">
      <c r="A14" s="62"/>
      <c r="B14" s="62"/>
      <c r="C14" s="62"/>
      <c r="D14" s="80"/>
      <c r="E14" s="120"/>
      <c r="F14" s="88"/>
      <c r="G14" s="88"/>
      <c r="H14" s="129"/>
      <c r="I14" s="85"/>
      <c r="J14" s="120"/>
      <c r="K14" s="158"/>
      <c r="L14" s="158"/>
      <c r="M14" s="129"/>
      <c r="N14" s="85"/>
      <c r="O14" s="91">
        <v>0.5</v>
      </c>
      <c r="P14" s="112" t="s">
        <v>70</v>
      </c>
      <c r="Q14" s="87"/>
      <c r="R14" s="95">
        <v>0.5</v>
      </c>
      <c r="S14" s="111" t="s">
        <v>70</v>
      </c>
      <c r="T14" s="87"/>
      <c r="U14" s="91">
        <v>0.5</v>
      </c>
      <c r="V14" s="112" t="s">
        <v>70</v>
      </c>
      <c r="W14" s="87"/>
      <c r="X14" s="193"/>
      <c r="Y14" s="193"/>
      <c r="Z14" s="80"/>
      <c r="AA14" s="80"/>
    </row>
    <row r="15" spans="1:27" ht="24.6" customHeight="1">
      <c r="A15" s="62"/>
      <c r="B15" s="62"/>
      <c r="C15" s="62"/>
      <c r="D15" s="80"/>
      <c r="E15" s="131"/>
      <c r="F15" s="132"/>
      <c r="G15" s="132"/>
      <c r="H15" s="133"/>
      <c r="I15" s="85"/>
      <c r="J15" s="120"/>
      <c r="K15" s="176"/>
      <c r="L15" s="176"/>
      <c r="M15" s="129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193"/>
      <c r="Y15" s="193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131"/>
      <c r="K16" s="132"/>
      <c r="L16" s="132"/>
      <c r="M16" s="133"/>
      <c r="N16" s="80"/>
      <c r="O16" s="224" t="s">
        <v>115</v>
      </c>
      <c r="P16" s="225"/>
      <c r="Q16" s="114"/>
      <c r="R16" s="228" t="s">
        <v>32</v>
      </c>
      <c r="S16" s="229"/>
      <c r="T16" s="87"/>
      <c r="U16" s="224" t="s">
        <v>33</v>
      </c>
      <c r="V16" s="230"/>
      <c r="W16" s="87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1"/>
      <c r="F17" s="122"/>
      <c r="G17" s="125"/>
      <c r="H17" s="126"/>
      <c r="I17" s="80"/>
      <c r="J17" s="80"/>
      <c r="K17" s="80"/>
      <c r="L17" s="80"/>
      <c r="M17" s="80"/>
      <c r="N17" s="80"/>
      <c r="O17" s="90" t="s">
        <v>68</v>
      </c>
      <c r="P17" s="110" t="s">
        <v>69</v>
      </c>
      <c r="Q17" s="87"/>
      <c r="R17" s="93" t="s">
        <v>68</v>
      </c>
      <c r="S17" s="196">
        <f>PENGATURAN!C24</f>
        <v>105000</v>
      </c>
      <c r="T17" s="87"/>
      <c r="U17" s="90" t="s">
        <v>68</v>
      </c>
      <c r="V17" s="92" t="s">
        <v>69</v>
      </c>
      <c r="W17" s="87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223" t="s">
        <v>93</v>
      </c>
      <c r="G18" s="223"/>
      <c r="H18" s="127"/>
      <c r="I18" s="80"/>
      <c r="J18" s="80"/>
      <c r="K18" s="80"/>
      <c r="L18" s="80"/>
      <c r="M18" s="80"/>
      <c r="N18" s="80"/>
      <c r="O18" s="91">
        <v>0.5</v>
      </c>
      <c r="P18" s="112" t="s">
        <v>70</v>
      </c>
      <c r="Q18" s="87"/>
      <c r="R18" s="95">
        <v>0.5</v>
      </c>
      <c r="S18" s="111" t="s">
        <v>70</v>
      </c>
      <c r="T18" s="87"/>
      <c r="U18" s="91">
        <v>0.5</v>
      </c>
      <c r="V18" s="112" t="s">
        <v>70</v>
      </c>
      <c r="W18" s="87"/>
      <c r="X18" s="193"/>
      <c r="Y18" s="193"/>
      <c r="Z18" s="80"/>
      <c r="AA18" s="80"/>
    </row>
    <row r="19" spans="1:27" ht="20.100000000000001" customHeight="1">
      <c r="A19" s="62"/>
      <c r="B19" s="62"/>
      <c r="C19" s="99"/>
      <c r="D19" s="81"/>
      <c r="E19" s="128"/>
      <c r="F19" s="124" t="s">
        <v>84</v>
      </c>
      <c r="G19" s="138" t="str">
        <f ca="1">TEXT(TODAY(), "dd mmmm yyyy")</f>
        <v>12 October 2024</v>
      </c>
      <c r="H19" s="129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41"/>
      <c r="T19" s="141"/>
      <c r="U19" s="141"/>
      <c r="V19" s="141"/>
      <c r="W19" s="141"/>
      <c r="X19" s="141"/>
      <c r="Y19" s="141"/>
      <c r="Z19" s="141"/>
      <c r="AA19" s="80"/>
    </row>
    <row r="20" spans="1:27" ht="20.100000000000001" customHeight="1">
      <c r="A20" s="62"/>
      <c r="B20" s="62"/>
      <c r="C20" s="99"/>
      <c r="D20" s="81"/>
      <c r="E20" s="128"/>
      <c r="F20" s="124" t="s">
        <v>85</v>
      </c>
      <c r="G20" s="138"/>
      <c r="H20" s="129"/>
      <c r="I20" s="153"/>
      <c r="J20" s="153"/>
      <c r="K20" s="153"/>
      <c r="L20" s="153"/>
      <c r="M20" s="153"/>
      <c r="N20" s="153"/>
      <c r="O20" s="224" t="s">
        <v>35</v>
      </c>
      <c r="P20" s="225"/>
      <c r="Q20" s="114"/>
      <c r="R20" s="228" t="s">
        <v>12</v>
      </c>
      <c r="S20" s="229"/>
      <c r="T20" s="87"/>
      <c r="U20" s="224" t="s">
        <v>116</v>
      </c>
      <c r="V20" s="230"/>
      <c r="W20" s="141"/>
      <c r="X20" s="141"/>
      <c r="Y20" s="141"/>
      <c r="Z20" s="141"/>
      <c r="AA20" s="80"/>
    </row>
    <row r="21" spans="1:27" ht="20.100000000000001" customHeight="1">
      <c r="A21" s="62"/>
      <c r="B21" s="62"/>
      <c r="C21" s="99"/>
      <c r="D21" s="81"/>
      <c r="E21" s="128"/>
      <c r="F21" s="124" t="s">
        <v>86</v>
      </c>
      <c r="G21" s="138"/>
      <c r="H21" s="129"/>
      <c r="I21" s="141"/>
      <c r="J21" s="141"/>
      <c r="K21" s="141"/>
      <c r="L21" s="141"/>
      <c r="M21" s="141"/>
      <c r="N21" s="141"/>
      <c r="O21" s="90" t="s">
        <v>68</v>
      </c>
      <c r="P21" s="110" t="s">
        <v>69</v>
      </c>
      <c r="Q21" s="87"/>
      <c r="R21" s="93" t="s">
        <v>68</v>
      </c>
      <c r="S21" s="94" t="s">
        <v>69</v>
      </c>
      <c r="T21" s="87"/>
      <c r="U21" s="90" t="s">
        <v>68</v>
      </c>
      <c r="V21" s="92" t="s">
        <v>69</v>
      </c>
      <c r="W21" s="141"/>
      <c r="X21" s="141"/>
      <c r="Y21" s="141"/>
      <c r="Z21" s="141"/>
      <c r="AA21" s="80"/>
    </row>
    <row r="22" spans="1:27" ht="20.100000000000001" customHeight="1">
      <c r="A22" s="62"/>
      <c r="B22" s="62"/>
      <c r="C22" s="99"/>
      <c r="D22" s="81"/>
      <c r="E22" s="128"/>
      <c r="F22" s="124" t="s">
        <v>88</v>
      </c>
      <c r="G22" s="138"/>
      <c r="H22" s="129"/>
      <c r="I22" s="141"/>
      <c r="J22" s="141"/>
      <c r="K22" s="141"/>
      <c r="L22" s="141"/>
      <c r="M22" s="141"/>
      <c r="N22" s="141"/>
      <c r="O22" s="91">
        <v>0.5</v>
      </c>
      <c r="P22" s="112" t="s">
        <v>70</v>
      </c>
      <c r="Q22" s="87"/>
      <c r="R22" s="95">
        <v>0.5</v>
      </c>
      <c r="S22" s="111" t="s">
        <v>70</v>
      </c>
      <c r="T22" s="87"/>
      <c r="U22" s="91">
        <v>0.5</v>
      </c>
      <c r="V22" s="112" t="s">
        <v>70</v>
      </c>
      <c r="W22" s="141"/>
      <c r="X22" s="141"/>
      <c r="Y22" s="141"/>
      <c r="Z22" s="141"/>
      <c r="AA22" s="80"/>
    </row>
    <row r="23" spans="1:27" ht="20.100000000000001" customHeight="1">
      <c r="A23" s="62"/>
      <c r="B23" s="62"/>
      <c r="C23" s="99"/>
      <c r="D23" s="81"/>
      <c r="E23" s="128"/>
      <c r="F23" s="124" t="s">
        <v>87</v>
      </c>
      <c r="G23" s="138"/>
      <c r="H23" s="129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80"/>
    </row>
    <row r="24" spans="1:27" ht="15.75" customHeight="1">
      <c r="A24" s="62"/>
      <c r="B24" s="62"/>
      <c r="C24" s="62"/>
      <c r="D24" s="80"/>
      <c r="E24" s="120"/>
      <c r="F24" s="143"/>
      <c r="G24" s="119"/>
      <c r="H24" s="129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43"/>
      <c r="G25" s="143"/>
      <c r="H25" s="129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1"/>
      <c r="F26" s="132"/>
      <c r="G26" s="132"/>
      <c r="H26" s="133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</row>
    <row r="38" spans="1:27" ht="15.75" customHeight="1">
      <c r="A38" s="62"/>
      <c r="B38" s="62"/>
      <c r="C38" s="62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</row>
    <row r="39" spans="1:27" ht="15.75" customHeight="1">
      <c r="A39" s="62"/>
      <c r="B39" s="62"/>
      <c r="C39" s="62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</row>
    <row r="40" spans="1:27" ht="15.75" customHeight="1">
      <c r="A40" s="62"/>
      <c r="B40" s="62"/>
      <c r="C40" s="62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</row>
    <row r="41" spans="1:27" ht="15.75" customHeight="1">
      <c r="A41" s="62"/>
      <c r="B41" s="62"/>
      <c r="C41" s="62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</row>
    <row r="42" spans="1:27" ht="15.75" customHeight="1">
      <c r="A42" s="62"/>
      <c r="B42" s="62"/>
      <c r="C42" s="62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</row>
    <row r="43" spans="1:27" ht="15.75" customHeight="1">
      <c r="A43" s="62"/>
      <c r="B43" s="62"/>
      <c r="C43" s="62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</row>
    <row r="44" spans="1:27" ht="15.75" customHeight="1">
      <c r="A44" s="62"/>
      <c r="B44" s="62"/>
      <c r="C44" s="62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</row>
    <row r="45" spans="1:27" ht="15.75" customHeight="1"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</row>
    <row r="46" spans="1:27" ht="15.75" customHeight="1"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</row>
    <row r="47" spans="1:27" ht="15.75" customHeight="1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</row>
    <row r="48" spans="1:27" ht="15.75" customHeight="1"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</row>
    <row r="49" spans="4:19" ht="15.75" customHeight="1"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</row>
    <row r="50" spans="4:19" ht="15.75" customHeight="1"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</row>
    <row r="51" spans="4:19" ht="15.75" customHeight="1"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</row>
    <row r="52" spans="4:19" ht="15.75" customHeight="1"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</row>
    <row r="53" spans="4:19" ht="15.75" customHeight="1"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</row>
    <row r="54" spans="4:19" ht="15.75" customHeight="1"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</row>
    <row r="61" spans="4:19" ht="15.75" customHeight="1">
      <c r="H61" s="227" t="s">
        <v>16</v>
      </c>
      <c r="I61" s="227"/>
      <c r="J61" s="227"/>
      <c r="K61" s="227"/>
      <c r="L61" s="227"/>
      <c r="M61" s="227"/>
      <c r="N61" s="227"/>
      <c r="O61" s="227"/>
      <c r="P61" s="227"/>
      <c r="Q61" s="227"/>
      <c r="R61" s="227"/>
      <c r="S61" s="227"/>
    </row>
    <row r="62" spans="4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4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26" t="s">
        <v>15</v>
      </c>
      <c r="H86" s="226"/>
      <c r="I86" s="226"/>
      <c r="J86" s="226"/>
      <c r="K86" s="43"/>
      <c r="L86" s="43"/>
      <c r="N86" s="215" t="s">
        <v>11</v>
      </c>
      <c r="O86" s="215"/>
      <c r="P86" s="215"/>
      <c r="Q86" s="215"/>
      <c r="R86" s="215"/>
      <c r="S86" s="215"/>
      <c r="U86" s="215" t="s">
        <v>28</v>
      </c>
      <c r="V86" s="215"/>
      <c r="W86" s="215"/>
      <c r="X86" s="215"/>
      <c r="Y86" s="215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215"/>
      <c r="O87" s="215"/>
      <c r="P87" s="215"/>
      <c r="Q87" s="215"/>
      <c r="R87" s="215"/>
      <c r="S87" s="215"/>
      <c r="U87" s="215"/>
      <c r="V87" s="215"/>
      <c r="W87" s="215"/>
      <c r="X87" s="215"/>
      <c r="Y87" s="215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206">
        <v>6000000</v>
      </c>
      <c r="O88" s="207"/>
      <c r="P88" s="207"/>
      <c r="Q88" s="207"/>
      <c r="R88" s="207"/>
      <c r="S88" s="208"/>
      <c r="U88" s="206">
        <v>6000000</v>
      </c>
      <c r="V88" s="207"/>
      <c r="W88" s="207"/>
      <c r="X88" s="207"/>
      <c r="Y88" s="208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209"/>
      <c r="O89" s="210"/>
      <c r="P89" s="210"/>
      <c r="Q89" s="210"/>
      <c r="R89" s="210"/>
      <c r="S89" s="211"/>
      <c r="U89" s="209"/>
      <c r="V89" s="210"/>
      <c r="W89" s="210"/>
      <c r="X89" s="210"/>
      <c r="Y89" s="211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209"/>
      <c r="O90" s="210"/>
      <c r="P90" s="210"/>
      <c r="Q90" s="210"/>
      <c r="R90" s="210"/>
      <c r="S90" s="211"/>
      <c r="U90" s="209"/>
      <c r="V90" s="210"/>
      <c r="W90" s="210"/>
      <c r="X90" s="210"/>
      <c r="Y90" s="211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209"/>
      <c r="O91" s="210"/>
      <c r="P91" s="210"/>
      <c r="Q91" s="210"/>
      <c r="R91" s="210"/>
      <c r="S91" s="211"/>
      <c r="U91" s="209"/>
      <c r="V91" s="210"/>
      <c r="W91" s="210"/>
      <c r="X91" s="210"/>
      <c r="Y91" s="211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209"/>
      <c r="O92" s="210"/>
      <c r="P92" s="210"/>
      <c r="Q92" s="210"/>
      <c r="R92" s="210"/>
      <c r="S92" s="211"/>
      <c r="U92" s="209"/>
      <c r="V92" s="210"/>
      <c r="W92" s="210"/>
      <c r="X92" s="210"/>
      <c r="Y92" s="211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209"/>
      <c r="O93" s="210"/>
      <c r="P93" s="210"/>
      <c r="Q93" s="210"/>
      <c r="R93" s="210"/>
      <c r="S93" s="211"/>
      <c r="U93" s="209"/>
      <c r="V93" s="210"/>
      <c r="W93" s="210"/>
      <c r="X93" s="210"/>
      <c r="Y93" s="211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209"/>
      <c r="O94" s="210"/>
      <c r="P94" s="210"/>
      <c r="Q94" s="210"/>
      <c r="R94" s="210"/>
      <c r="S94" s="211"/>
      <c r="U94" s="209"/>
      <c r="V94" s="210"/>
      <c r="W94" s="210"/>
      <c r="X94" s="210"/>
      <c r="Y94" s="211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12"/>
      <c r="O95" s="213"/>
      <c r="P95" s="213"/>
      <c r="Q95" s="213"/>
      <c r="R95" s="213"/>
      <c r="S95" s="214"/>
      <c r="U95" s="212"/>
      <c r="V95" s="213"/>
      <c r="W95" s="213"/>
      <c r="X95" s="213"/>
      <c r="Y95" s="214"/>
    </row>
    <row r="97" spans="7:25" ht="15.75" customHeight="1">
      <c r="G97" s="216" t="s">
        <v>12</v>
      </c>
      <c r="H97" s="216"/>
      <c r="I97" s="216"/>
      <c r="J97" s="216"/>
      <c r="K97" s="216"/>
      <c r="L97" s="101"/>
      <c r="N97" s="215" t="s">
        <v>29</v>
      </c>
      <c r="O97" s="215"/>
      <c r="P97" s="215"/>
      <c r="Q97" s="215"/>
      <c r="R97" s="215"/>
      <c r="S97" s="215"/>
      <c r="U97" s="217" t="s">
        <v>27</v>
      </c>
      <c r="V97" s="218"/>
      <c r="W97" s="218"/>
      <c r="X97" s="218"/>
      <c r="Y97" s="219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215"/>
      <c r="O98" s="215"/>
      <c r="P98" s="215"/>
      <c r="Q98" s="215"/>
      <c r="R98" s="215"/>
      <c r="S98" s="215"/>
      <c r="U98" s="220"/>
      <c r="V98" s="221"/>
      <c r="W98" s="221"/>
      <c r="X98" s="221"/>
      <c r="Y98" s="222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206">
        <v>6000000</v>
      </c>
      <c r="O99" s="207"/>
      <c r="P99" s="207"/>
      <c r="Q99" s="207"/>
      <c r="R99" s="207"/>
      <c r="S99" s="208"/>
      <c r="U99" s="206">
        <v>6000000</v>
      </c>
      <c r="V99" s="207"/>
      <c r="W99" s="207"/>
      <c r="X99" s="207"/>
      <c r="Y99" s="208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209"/>
      <c r="O100" s="210"/>
      <c r="P100" s="210"/>
      <c r="Q100" s="210"/>
      <c r="R100" s="210"/>
      <c r="S100" s="211"/>
      <c r="U100" s="209"/>
      <c r="V100" s="210"/>
      <c r="W100" s="210"/>
      <c r="X100" s="210"/>
      <c r="Y100" s="211"/>
    </row>
    <row r="101" spans="7:25" ht="15.75" customHeight="1">
      <c r="G101" s="77"/>
      <c r="H101" s="50"/>
      <c r="I101" s="50"/>
      <c r="J101" s="77"/>
      <c r="K101" s="45"/>
      <c r="L101" s="102"/>
      <c r="N101" s="209"/>
      <c r="O101" s="210"/>
      <c r="P101" s="210"/>
      <c r="Q101" s="210"/>
      <c r="R101" s="210"/>
      <c r="S101" s="211"/>
      <c r="U101" s="209"/>
      <c r="V101" s="210"/>
      <c r="W101" s="210"/>
      <c r="X101" s="210"/>
      <c r="Y101" s="211"/>
    </row>
    <row r="102" spans="7:25" ht="15.75" customHeight="1">
      <c r="G102" s="51"/>
      <c r="H102" s="51"/>
      <c r="I102" s="51"/>
      <c r="J102" s="52"/>
      <c r="K102" s="52"/>
      <c r="L102" s="104"/>
      <c r="N102" s="209"/>
      <c r="O102" s="210"/>
      <c r="P102" s="210"/>
      <c r="Q102" s="210"/>
      <c r="R102" s="210"/>
      <c r="S102" s="211"/>
      <c r="U102" s="209"/>
      <c r="V102" s="210"/>
      <c r="W102" s="210"/>
      <c r="X102" s="210"/>
      <c r="Y102" s="211"/>
    </row>
    <row r="103" spans="7:25" ht="15.75" customHeight="1">
      <c r="G103" s="51"/>
      <c r="H103" s="51"/>
      <c r="I103" s="51"/>
      <c r="J103" s="52"/>
      <c r="K103" s="52"/>
      <c r="L103" s="104"/>
      <c r="N103" s="209"/>
      <c r="O103" s="210"/>
      <c r="P103" s="210"/>
      <c r="Q103" s="210"/>
      <c r="R103" s="210"/>
      <c r="S103" s="211"/>
      <c r="U103" s="209"/>
      <c r="V103" s="210"/>
      <c r="W103" s="210"/>
      <c r="X103" s="210"/>
      <c r="Y103" s="211"/>
    </row>
    <row r="104" spans="7:25" ht="15.75" customHeight="1">
      <c r="G104" s="51"/>
      <c r="H104" s="51"/>
      <c r="I104" s="51"/>
      <c r="J104" s="52"/>
      <c r="K104" s="52"/>
      <c r="L104" s="104"/>
      <c r="N104" s="209"/>
      <c r="O104" s="210"/>
      <c r="P104" s="210"/>
      <c r="Q104" s="210"/>
      <c r="R104" s="210"/>
      <c r="S104" s="211"/>
      <c r="U104" s="209"/>
      <c r="V104" s="210"/>
      <c r="W104" s="210"/>
      <c r="X104" s="210"/>
      <c r="Y104" s="211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09"/>
      <c r="O105" s="210"/>
      <c r="P105" s="210"/>
      <c r="Q105" s="210"/>
      <c r="R105" s="210"/>
      <c r="S105" s="211"/>
      <c r="U105" s="209"/>
      <c r="V105" s="210"/>
      <c r="W105" s="210"/>
      <c r="X105" s="210"/>
      <c r="Y105" s="211"/>
    </row>
    <row r="106" spans="7:25" ht="15.75" customHeight="1">
      <c r="N106" s="212"/>
      <c r="O106" s="213"/>
      <c r="P106" s="213"/>
      <c r="Q106" s="213"/>
      <c r="R106" s="213"/>
      <c r="S106" s="214"/>
      <c r="U106" s="212"/>
      <c r="V106" s="213"/>
      <c r="W106" s="213"/>
      <c r="X106" s="213"/>
      <c r="Y106" s="214"/>
    </row>
    <row r="108" spans="7:25" ht="15.75" customHeight="1">
      <c r="G108" s="226" t="s">
        <v>31</v>
      </c>
      <c r="H108" s="226"/>
      <c r="I108" s="226"/>
      <c r="J108" s="226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29">
    <mergeCell ref="U8:V8"/>
    <mergeCell ref="F18:G18"/>
    <mergeCell ref="F7:G7"/>
    <mergeCell ref="E2:P2"/>
    <mergeCell ref="O20:P20"/>
    <mergeCell ref="R20:S20"/>
    <mergeCell ref="U20:V20"/>
    <mergeCell ref="R12:S12"/>
    <mergeCell ref="U12:V12"/>
    <mergeCell ref="O16:P16"/>
    <mergeCell ref="R16:S16"/>
    <mergeCell ref="U16:V16"/>
    <mergeCell ref="B4:C5"/>
    <mergeCell ref="K7:L7"/>
    <mergeCell ref="O8:P8"/>
    <mergeCell ref="O12:P12"/>
    <mergeCell ref="G108:J108"/>
    <mergeCell ref="H61:S61"/>
    <mergeCell ref="G86:J86"/>
    <mergeCell ref="N86:S87"/>
    <mergeCell ref="N99:S106"/>
    <mergeCell ref="R8:S8"/>
    <mergeCell ref="U99:Y106"/>
    <mergeCell ref="U86:Y87"/>
    <mergeCell ref="N88:S95"/>
    <mergeCell ref="U88:Y95"/>
    <mergeCell ref="G97:K97"/>
    <mergeCell ref="N97:S98"/>
    <mergeCell ref="U97:Y98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9" r:id="rId4" name="CommandButton2">
          <controlPr defaultSize="0" autoLine="0" r:id="rId5">
            <anchor moveWithCells="1">
              <from>
                <xdr:col>10</xdr:col>
                <xdr:colOff>19050</xdr:colOff>
                <xdr:row>13</xdr:row>
                <xdr:rowOff>85725</xdr:rowOff>
              </from>
              <to>
                <xdr:col>12</xdr:col>
                <xdr:colOff>238125</xdr:colOff>
                <xdr:row>15</xdr:row>
                <xdr:rowOff>85725</xdr:rowOff>
              </to>
            </anchor>
          </controlPr>
        </control>
      </mc:Choice>
      <mc:Fallback>
        <control shapeId="5129" r:id="rId4" name="CommandButton2"/>
      </mc:Fallback>
    </mc:AlternateContent>
    <mc:AlternateContent xmlns:mc="http://schemas.openxmlformats.org/markup-compatibility/2006">
      <mc:Choice Requires="x14">
        <control shapeId="5122" r:id="rId6" name="CommandButton1">
          <controlPr defaultSize="0" autoLine="0" r:id="rId7">
            <anchor moveWithCells="1">
              <from>
                <xdr:col>5</xdr:col>
                <xdr:colOff>9525</xdr:colOff>
                <xdr:row>12</xdr:row>
                <xdr:rowOff>66675</xdr:rowOff>
              </from>
              <to>
                <xdr:col>7</xdr:col>
                <xdr:colOff>228600</xdr:colOff>
                <xdr:row>14</xdr:row>
                <xdr:rowOff>19050</xdr:rowOff>
              </to>
            </anchor>
          </controlPr>
        </control>
      </mc:Choice>
      <mc:Fallback>
        <control shapeId="5122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PENGATURAN!$B$21:$B$27</xm:f>
          </x14:formula1>
          <xm:sqref>G22</xm:sqref>
        </x14:dataValidation>
        <x14:dataValidation type="list" allowBlank="1" showInputMessage="1" showErrorMessage="1">
          <x14:formula1>
            <xm:f>PENGATURAN!$B$21:$B$32</xm:f>
          </x14:formula1>
          <xm:sqref>G11:G12 L11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</sheetPr>
  <dimension ref="A1:AB125"/>
  <sheetViews>
    <sheetView tabSelected="1" zoomScale="55" zoomScaleNormal="55" workbookViewId="0">
      <selection activeCell="Q52" sqref="Q52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23.85546875" style="41" customWidth="1"/>
    <col min="15" max="15" width="2.85546875" style="41" customWidth="1"/>
    <col min="16" max="16" width="6.42578125" style="41" customWidth="1"/>
    <col min="17" max="17" width="25.42578125" style="41" customWidth="1"/>
    <col min="18" max="18" width="3.5703125" style="41" customWidth="1"/>
    <col min="19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6"/>
      <c r="S1" s="155"/>
      <c r="T1" s="155"/>
      <c r="U1" s="155"/>
      <c r="V1" s="155"/>
      <c r="W1" s="155"/>
      <c r="X1" s="155"/>
      <c r="Y1" s="155"/>
      <c r="Z1" s="155"/>
      <c r="AA1" s="155"/>
      <c r="AB1" s="80"/>
    </row>
    <row r="2" spans="1:28" ht="19.5" customHeight="1">
      <c r="A2" s="97"/>
      <c r="B2" s="97"/>
      <c r="C2" s="97" t="s">
        <v>71</v>
      </c>
      <c r="D2" s="79"/>
      <c r="E2" s="202" t="s">
        <v>97</v>
      </c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158"/>
      <c r="S2" s="155"/>
      <c r="T2" s="155"/>
      <c r="U2" s="155"/>
      <c r="V2" s="155"/>
      <c r="W2" s="155"/>
      <c r="X2" s="155"/>
      <c r="Y2" s="155"/>
      <c r="Z2" s="155"/>
      <c r="AA2" s="155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58"/>
      <c r="S3" s="155"/>
      <c r="T3" s="155"/>
      <c r="U3" s="155"/>
      <c r="V3" s="155"/>
      <c r="W3" s="155"/>
      <c r="X3" s="155"/>
      <c r="Y3" s="155"/>
      <c r="Z3" s="155"/>
      <c r="AA3" s="155"/>
      <c r="AB3" s="80"/>
    </row>
    <row r="4" spans="1:28" ht="15.95" customHeight="1">
      <c r="A4" s="62"/>
      <c r="B4" s="199" t="s">
        <v>72</v>
      </c>
      <c r="C4" s="19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58"/>
      <c r="S4" s="155"/>
      <c r="T4" s="155"/>
      <c r="U4" s="155"/>
      <c r="V4" s="155"/>
      <c r="W4" s="155"/>
      <c r="X4" s="155"/>
      <c r="Y4" s="155"/>
      <c r="Z4" s="155"/>
      <c r="AA4" s="155"/>
      <c r="AB4" s="80"/>
    </row>
    <row r="5" spans="1:28" ht="15.75" customHeight="1">
      <c r="A5" s="62"/>
      <c r="B5" s="199"/>
      <c r="C5" s="199"/>
      <c r="D5" s="79"/>
      <c r="E5" s="79"/>
      <c r="F5" s="79"/>
      <c r="G5" s="79"/>
      <c r="H5" s="155"/>
      <c r="I5" s="155"/>
      <c r="J5" s="173"/>
      <c r="K5" s="79"/>
      <c r="L5" s="79"/>
      <c r="M5" s="79"/>
      <c r="N5" s="79"/>
      <c r="O5" s="79"/>
      <c r="P5" s="79"/>
      <c r="Q5" s="79"/>
      <c r="R5" s="113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60"/>
      <c r="G6" s="125"/>
      <c r="H6" s="159"/>
      <c r="I6" s="159"/>
      <c r="J6" s="159"/>
      <c r="K6" s="200"/>
      <c r="L6" s="231"/>
      <c r="M6" s="231"/>
      <c r="N6" s="231"/>
      <c r="O6" s="200"/>
      <c r="P6" s="200"/>
      <c r="Q6" s="231"/>
      <c r="R6" s="232"/>
      <c r="S6" s="233"/>
      <c r="T6" s="234"/>
      <c r="U6" s="234"/>
      <c r="V6" s="235"/>
      <c r="W6" s="234"/>
      <c r="X6" s="234"/>
      <c r="Y6" s="233"/>
      <c r="Z6" s="234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03" t="s">
        <v>42</v>
      </c>
      <c r="G7" s="204"/>
      <c r="H7" s="204"/>
      <c r="I7" s="204"/>
      <c r="J7" s="204"/>
      <c r="K7" s="205"/>
      <c r="L7" s="158"/>
      <c r="M7" s="236" t="s">
        <v>66</v>
      </c>
      <c r="N7" s="236"/>
      <c r="O7" s="42"/>
      <c r="P7" s="237">
        <v>2026</v>
      </c>
      <c r="Q7" s="237"/>
      <c r="R7" s="76"/>
      <c r="X7" s="155"/>
      <c r="Y7" s="155"/>
      <c r="Z7" s="155"/>
      <c r="AA7" s="155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58"/>
      <c r="M8" s="176"/>
      <c r="N8" s="176"/>
      <c r="O8" s="176"/>
      <c r="P8" s="176"/>
      <c r="Q8" s="176"/>
      <c r="R8" s="129"/>
      <c r="S8" s="155"/>
      <c r="T8" s="155"/>
      <c r="U8" s="155"/>
      <c r="V8" s="155"/>
      <c r="W8" s="155"/>
      <c r="X8" s="155"/>
      <c r="Y8" s="155"/>
      <c r="Z8" s="155"/>
      <c r="AA8" s="155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/>
      <c r="G9" s="164"/>
      <c r="H9" s="184"/>
      <c r="I9" s="164"/>
      <c r="J9" s="177"/>
      <c r="K9" s="185"/>
      <c r="L9" s="158"/>
      <c r="M9" s="183"/>
      <c r="N9" s="164"/>
      <c r="O9" s="184"/>
      <c r="P9" s="164"/>
      <c r="Q9" s="177"/>
      <c r="R9" s="185"/>
      <c r="S9" s="155"/>
      <c r="T9" s="155"/>
      <c r="U9" s="155"/>
      <c r="V9" s="155"/>
      <c r="W9" s="155"/>
      <c r="X9" s="155"/>
      <c r="Y9" s="155"/>
      <c r="Z9" s="155"/>
      <c r="AA9" s="155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/>
      <c r="G10" s="182"/>
      <c r="H10" s="184"/>
      <c r="I10" s="182"/>
      <c r="J10" s="186"/>
      <c r="K10" s="185"/>
      <c r="L10" s="158"/>
      <c r="M10" s="183"/>
      <c r="N10" s="187"/>
      <c r="O10" s="184"/>
      <c r="P10" s="187"/>
      <c r="Q10" s="188"/>
      <c r="R10" s="185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/>
      <c r="G11" s="164"/>
      <c r="H11" s="184"/>
      <c r="I11" s="164"/>
      <c r="J11" s="177"/>
      <c r="K11" s="185"/>
      <c r="L11" s="158"/>
      <c r="M11" s="183"/>
      <c r="N11" s="164"/>
      <c r="O11" s="184"/>
      <c r="P11" s="164"/>
      <c r="Q11" s="177"/>
      <c r="R11" s="185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58"/>
      <c r="M12" s="183"/>
      <c r="N12" s="182"/>
      <c r="O12" s="184"/>
      <c r="P12" s="182"/>
      <c r="Q12" s="186"/>
      <c r="R12" s="185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58"/>
      <c r="M13" s="158"/>
      <c r="N13" s="158"/>
      <c r="O13" s="158"/>
      <c r="P13" s="158"/>
      <c r="Q13" s="158"/>
      <c r="R13" s="129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58"/>
      <c r="M14" s="158"/>
      <c r="N14" s="158"/>
      <c r="O14" s="158"/>
      <c r="P14" s="158"/>
      <c r="Q14" s="158"/>
      <c r="R14" s="129"/>
      <c r="S14" s="15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58"/>
      <c r="M15" s="158"/>
      <c r="N15" s="158"/>
      <c r="O15" s="158"/>
      <c r="P15" s="158"/>
      <c r="Q15" s="158"/>
      <c r="R15" s="129"/>
      <c r="S15" s="15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58"/>
      <c r="M16" s="158"/>
      <c r="N16" s="158"/>
      <c r="O16" s="158"/>
      <c r="P16" s="158"/>
      <c r="Q16" s="158"/>
      <c r="R16" s="129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58"/>
      <c r="M17" s="158"/>
      <c r="N17" s="158"/>
      <c r="O17" s="158"/>
      <c r="P17" s="158"/>
      <c r="Q17" s="158"/>
      <c r="R17" s="129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58"/>
      <c r="M18" s="158"/>
      <c r="N18" s="158"/>
      <c r="O18" s="158"/>
      <c r="P18" s="158"/>
      <c r="Q18" s="158"/>
      <c r="R18" s="129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58"/>
      <c r="M19" s="158"/>
      <c r="N19" s="158"/>
      <c r="O19" s="158"/>
      <c r="P19" s="158"/>
      <c r="Q19" s="158"/>
      <c r="R19" s="129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58"/>
      <c r="M20" s="158"/>
      <c r="N20" s="158"/>
      <c r="O20" s="158"/>
      <c r="P20" s="158"/>
      <c r="Q20" s="158"/>
      <c r="R20" s="129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58"/>
      <c r="M21" s="158"/>
      <c r="N21" s="158"/>
      <c r="O21" s="158"/>
      <c r="P21" s="158"/>
      <c r="Q21" s="158"/>
      <c r="R21" s="129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58"/>
      <c r="M22" s="158"/>
      <c r="N22" s="158"/>
      <c r="O22" s="158"/>
      <c r="P22" s="158"/>
      <c r="Q22" s="158"/>
      <c r="R22" s="129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58"/>
      <c r="M23" s="158"/>
      <c r="N23" s="158"/>
      <c r="O23" s="158"/>
      <c r="P23" s="158"/>
      <c r="Q23" s="158"/>
      <c r="R23" s="129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58"/>
      <c r="M24" s="158"/>
      <c r="N24" s="158"/>
      <c r="O24" s="158"/>
      <c r="P24" s="158"/>
      <c r="Q24" s="158"/>
      <c r="R24" s="129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58"/>
      <c r="M25" s="158"/>
      <c r="N25" s="158"/>
      <c r="O25" s="158"/>
      <c r="P25" s="158"/>
      <c r="Q25" s="158"/>
      <c r="R25" s="129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58"/>
      <c r="M26" s="158"/>
      <c r="N26" s="158"/>
      <c r="O26" s="158"/>
      <c r="P26" s="158"/>
      <c r="Q26" s="158"/>
      <c r="R26" s="129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58"/>
      <c r="M27" s="158"/>
      <c r="N27" s="158"/>
      <c r="O27" s="158"/>
      <c r="P27" s="158"/>
      <c r="Q27" s="158"/>
      <c r="R27" s="129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58"/>
      <c r="M28" s="158"/>
      <c r="N28" s="158"/>
      <c r="O28" s="158"/>
      <c r="P28" s="158"/>
      <c r="Q28" s="158"/>
      <c r="R28" s="129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58"/>
      <c r="M29" s="158"/>
      <c r="N29" s="158"/>
      <c r="O29" s="158"/>
      <c r="P29" s="158"/>
      <c r="Q29" s="158"/>
      <c r="R29" s="129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58"/>
      <c r="M30" s="158"/>
      <c r="N30" s="158"/>
      <c r="O30" s="158"/>
      <c r="P30" s="158"/>
      <c r="Q30" s="158"/>
      <c r="R30" s="129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58"/>
      <c r="M31" s="158"/>
      <c r="N31" s="158"/>
      <c r="O31" s="158"/>
      <c r="P31" s="158"/>
      <c r="Q31" s="158"/>
      <c r="R31" s="129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58"/>
      <c r="M32" s="158"/>
      <c r="N32" s="158"/>
      <c r="O32" s="158"/>
      <c r="P32" s="158"/>
      <c r="Q32" s="158"/>
      <c r="R32" s="129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64"/>
      <c r="H33" s="184"/>
      <c r="I33" s="164"/>
      <c r="J33" s="177"/>
      <c r="K33" s="185"/>
      <c r="L33" s="158"/>
      <c r="M33" s="158"/>
      <c r="N33" s="158"/>
      <c r="O33" s="158"/>
      <c r="P33" s="158"/>
      <c r="Q33" s="158"/>
      <c r="R33" s="129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89"/>
      <c r="H34" s="190"/>
      <c r="I34" s="189"/>
      <c r="J34" s="191"/>
      <c r="K34" s="192"/>
      <c r="L34" s="158"/>
      <c r="M34" s="158"/>
      <c r="N34" s="158"/>
      <c r="O34" s="158"/>
      <c r="P34" s="158"/>
      <c r="Q34" s="158"/>
      <c r="R34" s="129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58"/>
      <c r="G35" s="158"/>
      <c r="H35" s="158"/>
      <c r="I35" s="158"/>
      <c r="J35" s="176"/>
      <c r="K35" s="158"/>
      <c r="L35" s="158"/>
      <c r="M35" s="158"/>
      <c r="N35" s="158"/>
      <c r="O35" s="158"/>
      <c r="P35" s="158"/>
      <c r="Q35" s="158"/>
      <c r="R35" s="129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58"/>
      <c r="G36" s="158"/>
      <c r="H36" s="158"/>
      <c r="I36" s="158"/>
      <c r="J36" s="176"/>
      <c r="K36" s="158"/>
      <c r="L36" s="158"/>
      <c r="M36" s="158"/>
      <c r="N36" s="158"/>
      <c r="O36" s="158"/>
      <c r="P36" s="158"/>
      <c r="Q36" s="158"/>
      <c r="R36" s="129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58"/>
      <c r="G37" s="158"/>
      <c r="H37" s="158"/>
      <c r="I37" s="158"/>
      <c r="J37" s="176"/>
      <c r="K37" s="158"/>
      <c r="L37" s="158"/>
      <c r="M37" s="158"/>
      <c r="N37" s="158"/>
      <c r="O37" s="158"/>
      <c r="P37" s="158"/>
      <c r="Q37" s="158"/>
      <c r="R37" s="129"/>
    </row>
    <row r="38" spans="1:28" ht="15.75" customHeight="1">
      <c r="A38" s="62"/>
      <c r="B38" s="62"/>
      <c r="C38" s="62"/>
      <c r="D38" s="80"/>
      <c r="E38" s="120"/>
      <c r="F38" s="158"/>
      <c r="G38" s="158"/>
      <c r="H38" s="158"/>
      <c r="I38" s="158"/>
      <c r="J38" s="176"/>
      <c r="K38" s="158"/>
      <c r="L38" s="158"/>
      <c r="M38" s="158"/>
      <c r="N38" s="158"/>
      <c r="O38" s="158"/>
      <c r="P38" s="158"/>
      <c r="Q38" s="158"/>
      <c r="R38" s="129"/>
    </row>
    <row r="39" spans="1:28" ht="15.75" customHeight="1">
      <c r="A39" s="62"/>
      <c r="B39" s="62"/>
      <c r="C39" s="62"/>
      <c r="D39" s="80"/>
      <c r="E39" s="120"/>
      <c r="F39" s="158"/>
      <c r="G39" s="158"/>
      <c r="H39" s="158"/>
      <c r="I39" s="158"/>
      <c r="J39" s="176"/>
      <c r="K39" s="158"/>
      <c r="L39" s="158"/>
      <c r="M39" s="158"/>
      <c r="N39" s="158"/>
      <c r="O39" s="158"/>
      <c r="P39" s="158"/>
      <c r="Q39" s="158"/>
      <c r="R39" s="161"/>
    </row>
    <row r="40" spans="1:28" ht="15.75" customHeight="1">
      <c r="A40" s="62"/>
      <c r="B40" s="62"/>
      <c r="C40" s="62"/>
      <c r="D40" s="80"/>
      <c r="E40" s="120"/>
      <c r="F40" s="158"/>
      <c r="G40" s="158"/>
      <c r="H40" s="158"/>
      <c r="I40" s="158"/>
      <c r="J40" s="176"/>
      <c r="K40" s="158"/>
      <c r="L40" s="158"/>
      <c r="M40" s="158"/>
      <c r="N40" s="158"/>
      <c r="O40" s="158"/>
      <c r="P40" s="158"/>
      <c r="Q40" s="158"/>
      <c r="R40" s="161"/>
    </row>
    <row r="41" spans="1:28" ht="15.75" customHeight="1">
      <c r="A41" s="62"/>
      <c r="B41" s="62"/>
      <c r="C41" s="62"/>
      <c r="D41" s="80"/>
      <c r="E41" s="120"/>
      <c r="F41" s="158"/>
      <c r="G41" s="158"/>
      <c r="H41" s="158"/>
      <c r="I41" s="158"/>
      <c r="J41" s="176"/>
      <c r="K41" s="158"/>
      <c r="L41" s="158"/>
      <c r="M41" s="158"/>
      <c r="N41" s="158"/>
      <c r="O41" s="158"/>
      <c r="P41" s="158"/>
      <c r="Q41" s="158"/>
      <c r="R41" s="161"/>
    </row>
    <row r="42" spans="1:28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3"/>
    </row>
    <row r="43" spans="1:28" ht="15.75" customHeight="1">
      <c r="A43" s="62"/>
      <c r="B43" s="62"/>
      <c r="C43" s="62"/>
      <c r="D43" s="80"/>
      <c r="E43" s="87"/>
      <c r="F43" s="87"/>
    </row>
    <row r="44" spans="1:28" ht="15.75" customHeight="1">
      <c r="A44" s="62"/>
      <c r="B44" s="62"/>
      <c r="C44" s="62"/>
      <c r="D44" s="80"/>
      <c r="E44" s="87"/>
      <c r="F44" s="87"/>
    </row>
    <row r="45" spans="1:28" ht="15.75" customHeight="1">
      <c r="D45" s="80"/>
      <c r="E45" s="87"/>
      <c r="F45" s="87"/>
    </row>
    <row r="46" spans="1:28" ht="15.75" customHeight="1">
      <c r="D46" s="80"/>
      <c r="E46" s="87"/>
      <c r="F46" s="87"/>
    </row>
    <row r="61" spans="7:20" ht="15.75" customHeight="1">
      <c r="H61" s="227" t="s">
        <v>16</v>
      </c>
      <c r="I61" s="227"/>
      <c r="J61" s="227"/>
      <c r="K61" s="227"/>
      <c r="L61" s="227"/>
      <c r="M61" s="227"/>
      <c r="N61" s="227"/>
      <c r="O61" s="227"/>
      <c r="P61" s="227"/>
      <c r="Q61" s="227"/>
      <c r="R61" s="227"/>
      <c r="S61" s="227"/>
      <c r="T61" s="227"/>
    </row>
    <row r="62" spans="7:20" ht="15.75" customHeight="1">
      <c r="G62" s="157" t="s">
        <v>9</v>
      </c>
      <c r="H62" s="156">
        <v>1</v>
      </c>
      <c r="I62" s="156"/>
      <c r="J62" s="174"/>
      <c r="K62" s="156">
        <v>2</v>
      </c>
      <c r="L62" s="156">
        <v>3</v>
      </c>
      <c r="M62" s="156"/>
      <c r="N62" s="156">
        <v>5</v>
      </c>
      <c r="O62" s="156">
        <v>6</v>
      </c>
      <c r="P62" s="156"/>
      <c r="Q62" s="156">
        <v>7</v>
      </c>
      <c r="R62" s="156">
        <v>8</v>
      </c>
      <c r="S62" s="156">
        <v>9</v>
      </c>
      <c r="T62" s="156">
        <v>10</v>
      </c>
    </row>
    <row r="63" spans="7:20" ht="15.75" customHeight="1">
      <c r="G63" s="157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5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5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5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5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5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5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226" t="s">
        <v>15</v>
      </c>
      <c r="H86" s="226"/>
      <c r="I86" s="226"/>
      <c r="J86" s="226"/>
      <c r="K86" s="226"/>
      <c r="L86" s="43"/>
      <c r="M86" s="43"/>
      <c r="O86" s="215" t="s">
        <v>11</v>
      </c>
      <c r="P86" s="215"/>
      <c r="Q86" s="215"/>
      <c r="R86" s="215"/>
      <c r="S86" s="215"/>
      <c r="T86" s="215"/>
      <c r="V86" s="215" t="s">
        <v>28</v>
      </c>
      <c r="W86" s="215"/>
      <c r="X86" s="215"/>
      <c r="Y86" s="215"/>
      <c r="Z86" s="215"/>
    </row>
    <row r="87" spans="7:26" ht="15.75" customHeight="1">
      <c r="G87" s="157" t="s">
        <v>0</v>
      </c>
      <c r="H87" s="157" t="s">
        <v>9</v>
      </c>
      <c r="I87" s="157"/>
      <c r="J87" s="175"/>
      <c r="K87" s="157" t="s">
        <v>30</v>
      </c>
      <c r="L87" s="157" t="s">
        <v>36</v>
      </c>
      <c r="M87" s="101"/>
      <c r="O87" s="215"/>
      <c r="P87" s="215"/>
      <c r="Q87" s="215"/>
      <c r="R87" s="215"/>
      <c r="S87" s="215"/>
      <c r="T87" s="215"/>
      <c r="V87" s="215"/>
      <c r="W87" s="215"/>
      <c r="X87" s="215"/>
      <c r="Y87" s="215"/>
      <c r="Z87" s="215"/>
    </row>
    <row r="88" spans="7:26" ht="15.75" customHeight="1">
      <c r="G88" s="157">
        <v>1</v>
      </c>
      <c r="H88" s="157" t="s">
        <v>1</v>
      </c>
      <c r="I88" s="157"/>
      <c r="J88" s="175"/>
      <c r="K88" s="45">
        <v>900000</v>
      </c>
      <c r="L88" s="45">
        <f>K88/2</f>
        <v>450000</v>
      </c>
      <c r="M88" s="102"/>
      <c r="O88" s="206">
        <v>6000000</v>
      </c>
      <c r="P88" s="207"/>
      <c r="Q88" s="207"/>
      <c r="R88" s="207"/>
      <c r="S88" s="207"/>
      <c r="T88" s="208"/>
      <c r="V88" s="206">
        <v>6000000</v>
      </c>
      <c r="W88" s="207"/>
      <c r="X88" s="207"/>
      <c r="Y88" s="207"/>
      <c r="Z88" s="208"/>
    </row>
    <row r="89" spans="7:26" ht="15.75" customHeight="1">
      <c r="G89" s="157">
        <v>2</v>
      </c>
      <c r="H89" s="157" t="s">
        <v>2</v>
      </c>
      <c r="I89" s="157"/>
      <c r="J89" s="175"/>
      <c r="K89" s="45">
        <v>800000</v>
      </c>
      <c r="L89" s="45">
        <f t="shared" ref="L89:L94" si="0">K89/2</f>
        <v>400000</v>
      </c>
      <c r="M89" s="102"/>
      <c r="O89" s="209"/>
      <c r="P89" s="210"/>
      <c r="Q89" s="210"/>
      <c r="R89" s="210"/>
      <c r="S89" s="210"/>
      <c r="T89" s="211"/>
      <c r="V89" s="209"/>
      <c r="W89" s="210"/>
      <c r="X89" s="210"/>
      <c r="Y89" s="210"/>
      <c r="Z89" s="211"/>
    </row>
    <row r="90" spans="7:26" ht="15.75" customHeight="1">
      <c r="G90" s="157">
        <v>3</v>
      </c>
      <c r="H90" s="157" t="s">
        <v>3</v>
      </c>
      <c r="I90" s="157"/>
      <c r="J90" s="175"/>
      <c r="K90" s="45">
        <v>900000</v>
      </c>
      <c r="L90" s="45">
        <f t="shared" si="0"/>
        <v>450000</v>
      </c>
      <c r="M90" s="102"/>
      <c r="O90" s="209"/>
      <c r="P90" s="210"/>
      <c r="Q90" s="210"/>
      <c r="R90" s="210"/>
      <c r="S90" s="210"/>
      <c r="T90" s="211"/>
      <c r="V90" s="209"/>
      <c r="W90" s="210"/>
      <c r="X90" s="210"/>
      <c r="Y90" s="210"/>
      <c r="Z90" s="211"/>
    </row>
    <row r="91" spans="7:26" ht="15.75" customHeight="1">
      <c r="G91" s="157">
        <v>4</v>
      </c>
      <c r="H91" s="157" t="s">
        <v>4</v>
      </c>
      <c r="I91" s="157"/>
      <c r="J91" s="175"/>
      <c r="K91" s="45">
        <v>1000000</v>
      </c>
      <c r="L91" s="45">
        <f t="shared" si="0"/>
        <v>500000</v>
      </c>
      <c r="M91" s="102"/>
      <c r="O91" s="209"/>
      <c r="P91" s="210"/>
      <c r="Q91" s="210"/>
      <c r="R91" s="210"/>
      <c r="S91" s="210"/>
      <c r="T91" s="211"/>
      <c r="V91" s="209"/>
      <c r="W91" s="210"/>
      <c r="X91" s="210"/>
      <c r="Y91" s="210"/>
      <c r="Z91" s="211"/>
    </row>
    <row r="92" spans="7:26" ht="15.75" customHeight="1">
      <c r="G92" s="157">
        <v>5</v>
      </c>
      <c r="H92" s="157" t="s">
        <v>5</v>
      </c>
      <c r="I92" s="157"/>
      <c r="J92" s="175"/>
      <c r="K92" s="45">
        <v>400000</v>
      </c>
      <c r="L92" s="45">
        <f t="shared" si="0"/>
        <v>200000</v>
      </c>
      <c r="M92" s="102"/>
      <c r="O92" s="209"/>
      <c r="P92" s="210"/>
      <c r="Q92" s="210"/>
      <c r="R92" s="210"/>
      <c r="S92" s="210"/>
      <c r="T92" s="211"/>
      <c r="V92" s="209"/>
      <c r="W92" s="210"/>
      <c r="X92" s="210"/>
      <c r="Y92" s="210"/>
      <c r="Z92" s="211"/>
    </row>
    <row r="93" spans="7:26" ht="15.75" customHeight="1">
      <c r="G93" s="157">
        <v>6</v>
      </c>
      <c r="H93" s="157" t="s">
        <v>6</v>
      </c>
      <c r="I93" s="157"/>
      <c r="J93" s="175"/>
      <c r="K93" s="45">
        <v>100000</v>
      </c>
      <c r="L93" s="45">
        <f t="shared" si="0"/>
        <v>50000</v>
      </c>
      <c r="M93" s="102"/>
      <c r="O93" s="209"/>
      <c r="P93" s="210"/>
      <c r="Q93" s="210"/>
      <c r="R93" s="210"/>
      <c r="S93" s="210"/>
      <c r="T93" s="211"/>
      <c r="V93" s="209"/>
      <c r="W93" s="210"/>
      <c r="X93" s="210"/>
      <c r="Y93" s="210"/>
      <c r="Z93" s="211"/>
    </row>
    <row r="94" spans="7:26" ht="15.75" customHeight="1">
      <c r="G94" s="157">
        <v>7</v>
      </c>
      <c r="H94" s="157" t="s">
        <v>7</v>
      </c>
      <c r="I94" s="157"/>
      <c r="J94" s="175"/>
      <c r="K94" s="45">
        <v>100000</v>
      </c>
      <c r="L94" s="45">
        <f t="shared" si="0"/>
        <v>50000</v>
      </c>
      <c r="M94" s="102"/>
      <c r="O94" s="209"/>
      <c r="P94" s="210"/>
      <c r="Q94" s="210"/>
      <c r="R94" s="210"/>
      <c r="S94" s="210"/>
      <c r="T94" s="211"/>
      <c r="V94" s="209"/>
      <c r="W94" s="210"/>
      <c r="X94" s="210"/>
      <c r="Y94" s="210"/>
      <c r="Z94" s="211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3"/>
      <c r="O95" s="212"/>
      <c r="P95" s="213"/>
      <c r="Q95" s="213"/>
      <c r="R95" s="213"/>
      <c r="S95" s="213"/>
      <c r="T95" s="214"/>
      <c r="V95" s="212"/>
      <c r="W95" s="213"/>
      <c r="X95" s="213"/>
      <c r="Y95" s="213"/>
      <c r="Z95" s="214"/>
    </row>
    <row r="97" spans="7:26" ht="15.75" customHeight="1">
      <c r="G97" s="216" t="s">
        <v>12</v>
      </c>
      <c r="H97" s="216"/>
      <c r="I97" s="216"/>
      <c r="J97" s="216"/>
      <c r="K97" s="216"/>
      <c r="L97" s="216"/>
      <c r="M97" s="101"/>
      <c r="O97" s="215" t="s">
        <v>29</v>
      </c>
      <c r="P97" s="215"/>
      <c r="Q97" s="215"/>
      <c r="R97" s="215"/>
      <c r="S97" s="215"/>
      <c r="T97" s="215"/>
      <c r="V97" s="217" t="s">
        <v>27</v>
      </c>
      <c r="W97" s="218"/>
      <c r="X97" s="218"/>
      <c r="Y97" s="218"/>
      <c r="Z97" s="219"/>
    </row>
    <row r="98" spans="7:26" ht="15.75" customHeight="1">
      <c r="G98" s="157" t="s">
        <v>0</v>
      </c>
      <c r="H98" s="157" t="s">
        <v>13</v>
      </c>
      <c r="I98" s="157"/>
      <c r="J98" s="175"/>
      <c r="K98" s="157" t="s">
        <v>9</v>
      </c>
      <c r="L98" s="157" t="s">
        <v>8</v>
      </c>
      <c r="M98" s="101"/>
      <c r="O98" s="215"/>
      <c r="P98" s="215"/>
      <c r="Q98" s="215"/>
      <c r="R98" s="215"/>
      <c r="S98" s="215"/>
      <c r="T98" s="215"/>
      <c r="V98" s="220"/>
      <c r="W98" s="221"/>
      <c r="X98" s="221"/>
      <c r="Y98" s="221"/>
      <c r="Z98" s="222"/>
    </row>
    <row r="99" spans="7:26" ht="15.75" customHeight="1">
      <c r="G99" s="157">
        <v>1</v>
      </c>
      <c r="H99" s="157" t="s">
        <v>14</v>
      </c>
      <c r="I99" s="157"/>
      <c r="J99" s="175"/>
      <c r="K99" s="157" t="s">
        <v>4</v>
      </c>
      <c r="L99" s="45">
        <v>2500000</v>
      </c>
      <c r="M99" s="102"/>
      <c r="O99" s="206">
        <v>6000000</v>
      </c>
      <c r="P99" s="207"/>
      <c r="Q99" s="207"/>
      <c r="R99" s="207"/>
      <c r="S99" s="207"/>
      <c r="T99" s="208"/>
      <c r="V99" s="206">
        <v>6000000</v>
      </c>
      <c r="W99" s="207"/>
      <c r="X99" s="207"/>
      <c r="Y99" s="207"/>
      <c r="Z99" s="208"/>
    </row>
    <row r="100" spans="7:26" ht="15.75" customHeight="1">
      <c r="G100" s="157">
        <v>2</v>
      </c>
      <c r="H100" s="50" t="s">
        <v>22</v>
      </c>
      <c r="I100" s="50"/>
      <c r="J100" s="50"/>
      <c r="K100" s="157" t="s">
        <v>4</v>
      </c>
      <c r="L100" s="45">
        <v>500000</v>
      </c>
      <c r="M100" s="102"/>
      <c r="O100" s="209"/>
      <c r="P100" s="210"/>
      <c r="Q100" s="210"/>
      <c r="R100" s="210"/>
      <c r="S100" s="210"/>
      <c r="T100" s="211"/>
      <c r="V100" s="209"/>
      <c r="W100" s="210"/>
      <c r="X100" s="210"/>
      <c r="Y100" s="210"/>
      <c r="Z100" s="211"/>
    </row>
    <row r="101" spans="7:26" ht="15.75" customHeight="1">
      <c r="G101" s="157"/>
      <c r="H101" s="50"/>
      <c r="I101" s="50"/>
      <c r="J101" s="50"/>
      <c r="K101" s="157"/>
      <c r="L101" s="45"/>
      <c r="M101" s="102"/>
      <c r="O101" s="209"/>
      <c r="P101" s="210"/>
      <c r="Q101" s="210"/>
      <c r="R101" s="210"/>
      <c r="S101" s="210"/>
      <c r="T101" s="211"/>
      <c r="V101" s="209"/>
      <c r="W101" s="210"/>
      <c r="X101" s="210"/>
      <c r="Y101" s="210"/>
      <c r="Z101" s="211"/>
    </row>
    <row r="102" spans="7:26" ht="15.75" customHeight="1">
      <c r="G102" s="51"/>
      <c r="H102" s="51"/>
      <c r="I102" s="51"/>
      <c r="J102" s="51"/>
      <c r="K102" s="52"/>
      <c r="L102" s="52"/>
      <c r="M102" s="104"/>
      <c r="O102" s="209"/>
      <c r="P102" s="210"/>
      <c r="Q102" s="210"/>
      <c r="R102" s="210"/>
      <c r="S102" s="210"/>
      <c r="T102" s="211"/>
      <c r="V102" s="209"/>
      <c r="W102" s="210"/>
      <c r="X102" s="210"/>
      <c r="Y102" s="210"/>
      <c r="Z102" s="211"/>
    </row>
    <row r="103" spans="7:26" ht="15.75" customHeight="1">
      <c r="G103" s="51"/>
      <c r="H103" s="51"/>
      <c r="I103" s="51"/>
      <c r="J103" s="51"/>
      <c r="K103" s="52"/>
      <c r="L103" s="52"/>
      <c r="M103" s="104"/>
      <c r="O103" s="209"/>
      <c r="P103" s="210"/>
      <c r="Q103" s="210"/>
      <c r="R103" s="210"/>
      <c r="S103" s="210"/>
      <c r="T103" s="211"/>
      <c r="V103" s="209"/>
      <c r="W103" s="210"/>
      <c r="X103" s="210"/>
      <c r="Y103" s="210"/>
      <c r="Z103" s="211"/>
    </row>
    <row r="104" spans="7:26" ht="15.75" customHeight="1">
      <c r="G104" s="51"/>
      <c r="H104" s="51"/>
      <c r="I104" s="51"/>
      <c r="J104" s="51"/>
      <c r="K104" s="52"/>
      <c r="L104" s="52"/>
      <c r="M104" s="104"/>
      <c r="O104" s="209"/>
      <c r="P104" s="210"/>
      <c r="Q104" s="210"/>
      <c r="R104" s="210"/>
      <c r="S104" s="210"/>
      <c r="T104" s="211"/>
      <c r="V104" s="209"/>
      <c r="W104" s="210"/>
      <c r="X104" s="210"/>
      <c r="Y104" s="210"/>
      <c r="Z104" s="211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5"/>
      <c r="O105" s="209"/>
      <c r="P105" s="210"/>
      <c r="Q105" s="210"/>
      <c r="R105" s="210"/>
      <c r="S105" s="210"/>
      <c r="T105" s="211"/>
      <c r="V105" s="209"/>
      <c r="W105" s="210"/>
      <c r="X105" s="210"/>
      <c r="Y105" s="210"/>
      <c r="Z105" s="211"/>
    </row>
    <row r="106" spans="7:26" ht="15.75" customHeight="1">
      <c r="O106" s="212"/>
      <c r="P106" s="213"/>
      <c r="Q106" s="213"/>
      <c r="R106" s="213"/>
      <c r="S106" s="213"/>
      <c r="T106" s="214"/>
      <c r="V106" s="212"/>
      <c r="W106" s="213"/>
      <c r="X106" s="213"/>
      <c r="Y106" s="213"/>
      <c r="Z106" s="214"/>
    </row>
    <row r="108" spans="7:26" ht="15.75" customHeight="1">
      <c r="G108" s="226" t="s">
        <v>31</v>
      </c>
      <c r="H108" s="226"/>
      <c r="I108" s="226"/>
      <c r="J108" s="226"/>
      <c r="K108" s="226"/>
    </row>
    <row r="109" spans="7:26" ht="15.75" customHeight="1">
      <c r="G109" s="157" t="s">
        <v>0</v>
      </c>
      <c r="H109" s="157" t="s">
        <v>9</v>
      </c>
      <c r="I109" s="157"/>
      <c r="J109" s="175"/>
      <c r="K109" s="157" t="s">
        <v>8</v>
      </c>
    </row>
    <row r="110" spans="7:26" ht="15.75" customHeight="1">
      <c r="G110" s="157">
        <v>1</v>
      </c>
      <c r="H110" s="157" t="s">
        <v>1</v>
      </c>
      <c r="I110" s="157"/>
      <c r="J110" s="175"/>
      <c r="K110" s="45">
        <f>850000-H63-K63</f>
        <v>719100</v>
      </c>
    </row>
    <row r="111" spans="7:26" ht="15.75" customHeight="1">
      <c r="G111" s="157">
        <v>2</v>
      </c>
      <c r="H111" s="157" t="s">
        <v>2</v>
      </c>
      <c r="I111" s="157"/>
      <c r="J111" s="175"/>
      <c r="K111" s="45">
        <v>800000</v>
      </c>
    </row>
    <row r="112" spans="7:26" ht="15.75" customHeight="1">
      <c r="G112" s="157">
        <v>3</v>
      </c>
      <c r="H112" s="157" t="s">
        <v>3</v>
      </c>
      <c r="I112" s="157"/>
      <c r="J112" s="175"/>
      <c r="K112" s="45">
        <v>850000</v>
      </c>
    </row>
    <row r="113" spans="7:13" ht="15.75" customHeight="1">
      <c r="G113" s="157">
        <v>4</v>
      </c>
      <c r="H113" s="157" t="s">
        <v>4</v>
      </c>
      <c r="I113" s="157"/>
      <c r="J113" s="175"/>
      <c r="K113" s="45">
        <v>1000000</v>
      </c>
    </row>
    <row r="114" spans="7:13" ht="15.75" customHeight="1">
      <c r="G114" s="157">
        <v>5</v>
      </c>
      <c r="H114" s="157" t="s">
        <v>5</v>
      </c>
      <c r="I114" s="157"/>
      <c r="J114" s="175"/>
      <c r="K114" s="45">
        <v>500000</v>
      </c>
    </row>
    <row r="115" spans="7:13" ht="15.75" customHeight="1">
      <c r="G115" s="157">
        <v>6</v>
      </c>
      <c r="H115" s="157" t="s">
        <v>6</v>
      </c>
      <c r="I115" s="157"/>
      <c r="J115" s="175"/>
      <c r="K115" s="45">
        <v>100000</v>
      </c>
    </row>
    <row r="116" spans="7:13" ht="15.75" customHeight="1">
      <c r="G116" s="157">
        <v>7</v>
      </c>
      <c r="H116" s="157" t="s">
        <v>7</v>
      </c>
      <c r="I116" s="157"/>
      <c r="J116" s="175"/>
      <c r="K116" s="45">
        <v>100000</v>
      </c>
    </row>
    <row r="117" spans="7:13" ht="15.75" customHeight="1">
      <c r="G117" s="157">
        <v>8</v>
      </c>
      <c r="H117" s="157" t="s">
        <v>32</v>
      </c>
      <c r="I117" s="157"/>
      <c r="J117" s="175"/>
      <c r="K117" s="45"/>
    </row>
    <row r="118" spans="7:13" ht="15.75" customHeight="1">
      <c r="G118" s="157">
        <v>9</v>
      </c>
      <c r="H118" s="157" t="s">
        <v>33</v>
      </c>
      <c r="I118" s="157"/>
      <c r="J118" s="175"/>
      <c r="K118" s="45"/>
    </row>
    <row r="119" spans="7:13" ht="15.75" customHeight="1">
      <c r="G119" s="157">
        <v>10</v>
      </c>
      <c r="H119" s="157" t="s">
        <v>34</v>
      </c>
      <c r="I119" s="157"/>
      <c r="J119" s="175"/>
      <c r="K119" s="45"/>
    </row>
    <row r="120" spans="7:13" ht="15.75" customHeight="1">
      <c r="G120" s="157">
        <v>11</v>
      </c>
      <c r="H120" s="157" t="s">
        <v>35</v>
      </c>
      <c r="I120" s="157"/>
      <c r="J120" s="175"/>
      <c r="K120" s="45"/>
    </row>
    <row r="121" spans="7:13" ht="15.75" customHeight="1">
      <c r="G121" s="157">
        <v>12</v>
      </c>
      <c r="H121" s="157" t="s">
        <v>12</v>
      </c>
      <c r="I121" s="157"/>
      <c r="J121" s="175"/>
      <c r="K121" s="45">
        <f>L105</f>
        <v>3000000</v>
      </c>
    </row>
    <row r="122" spans="7:13" ht="15.75" customHeight="1">
      <c r="G122" s="151">
        <v>45553</v>
      </c>
      <c r="H122" s="150" t="s">
        <v>89</v>
      </c>
      <c r="I122" s="150">
        <v>30000000</v>
      </c>
      <c r="J122" s="150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mergeCells count="22">
    <mergeCell ref="G108:K108"/>
    <mergeCell ref="H61:T61"/>
    <mergeCell ref="G86:K86"/>
    <mergeCell ref="O86:T87"/>
    <mergeCell ref="V86:Z87"/>
    <mergeCell ref="O88:T95"/>
    <mergeCell ref="V88:Z95"/>
    <mergeCell ref="G97:L97"/>
    <mergeCell ref="O97:T98"/>
    <mergeCell ref="V97:Z98"/>
    <mergeCell ref="O99:T106"/>
    <mergeCell ref="V99:Z106"/>
    <mergeCell ref="Y6:Z6"/>
    <mergeCell ref="F7:K7"/>
    <mergeCell ref="V6:X6"/>
    <mergeCell ref="M7:N7"/>
    <mergeCell ref="P7:Q7"/>
    <mergeCell ref="E2:Q2"/>
    <mergeCell ref="B4:C5"/>
    <mergeCell ref="K6:N6"/>
    <mergeCell ref="O6:R6"/>
    <mergeCell ref="S6:U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PENGATURAN!$D$5:$D$16</xm:f>
          </x14:formula1>
          <xm:sqref>P7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25"/>
  <sheetViews>
    <sheetView zoomScale="55" zoomScaleNormal="55" workbookViewId="0">
      <selection activeCell="F9" sqref="F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9" width="23" style="41" customWidth="1"/>
    <col min="10" max="10" width="31.425781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36"/>
      <c r="S1" s="136"/>
      <c r="T1" s="136"/>
      <c r="U1" s="136"/>
      <c r="V1" s="136"/>
      <c r="W1" s="136"/>
      <c r="X1" s="136"/>
      <c r="Y1" s="136"/>
      <c r="Z1" s="136"/>
      <c r="AA1" s="80"/>
    </row>
    <row r="2" spans="1:27" ht="19.5" customHeight="1">
      <c r="A2" s="97"/>
      <c r="B2" s="97"/>
      <c r="C2" s="97" t="s">
        <v>71</v>
      </c>
      <c r="D2" s="79"/>
      <c r="E2" s="202" t="s">
        <v>90</v>
      </c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137"/>
      <c r="R2" s="136"/>
      <c r="S2" s="136"/>
      <c r="T2" s="136"/>
      <c r="U2" s="136"/>
      <c r="V2" s="136"/>
      <c r="W2" s="136"/>
      <c r="X2" s="136"/>
      <c r="Y2" s="136"/>
      <c r="Z2" s="136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37"/>
      <c r="R3" s="136"/>
      <c r="S3" s="136"/>
      <c r="T3" s="136"/>
      <c r="U3" s="136"/>
      <c r="V3" s="136"/>
      <c r="W3" s="136"/>
      <c r="X3" s="136"/>
      <c r="Y3" s="136"/>
      <c r="Z3" s="136"/>
      <c r="AA3" s="80"/>
    </row>
    <row r="4" spans="1:27" ht="15.95" customHeight="1">
      <c r="A4" s="62"/>
      <c r="B4" s="199" t="s">
        <v>72</v>
      </c>
      <c r="C4" s="19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37"/>
      <c r="R4" s="136"/>
      <c r="S4" s="136"/>
      <c r="T4" s="136"/>
      <c r="U4" s="136"/>
      <c r="V4" s="136"/>
      <c r="W4" s="136"/>
      <c r="X4" s="136"/>
      <c r="Y4" s="136"/>
      <c r="Z4" s="136"/>
      <c r="AA4" s="80"/>
    </row>
    <row r="5" spans="1:27" ht="15.75" customHeight="1">
      <c r="A5" s="62"/>
      <c r="B5" s="199"/>
      <c r="C5" s="199"/>
      <c r="D5" s="79"/>
      <c r="E5" s="79"/>
      <c r="F5" s="79"/>
      <c r="G5" s="79"/>
      <c r="H5" s="136"/>
      <c r="I5" s="136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59"/>
      <c r="I6" s="159"/>
      <c r="J6" s="200"/>
      <c r="K6" s="231"/>
      <c r="L6" s="231"/>
      <c r="M6" s="231"/>
      <c r="N6" s="200"/>
      <c r="O6" s="200"/>
      <c r="P6" s="231"/>
      <c r="Q6" s="232"/>
      <c r="R6" s="233"/>
      <c r="S6" s="234"/>
      <c r="T6" s="234"/>
      <c r="U6" s="235"/>
      <c r="V6" s="234"/>
      <c r="W6" s="234"/>
      <c r="X6" s="233"/>
      <c r="Y6" s="234"/>
      <c r="Z6" s="83"/>
      <c r="AA6" s="80"/>
    </row>
    <row r="7" spans="1:27" ht="18.95" customHeight="1">
      <c r="A7" s="62"/>
      <c r="B7" s="62"/>
      <c r="C7" s="99" t="s">
        <v>38</v>
      </c>
      <c r="D7" s="81"/>
      <c r="E7" s="120"/>
      <c r="F7" s="203" t="s">
        <v>42</v>
      </c>
      <c r="G7" s="204"/>
      <c r="H7" s="204"/>
      <c r="I7" s="204"/>
      <c r="J7" s="205"/>
      <c r="K7" s="154"/>
      <c r="L7" s="238"/>
      <c r="M7" s="238"/>
      <c r="N7" s="86"/>
      <c r="O7" s="239"/>
      <c r="P7" s="239"/>
      <c r="Q7" s="129"/>
      <c r="R7" s="136"/>
      <c r="S7" s="136"/>
      <c r="T7" s="136"/>
      <c r="U7" s="136"/>
      <c r="V7" s="136"/>
      <c r="W7" s="136"/>
      <c r="X7" s="136"/>
      <c r="Y7" s="136"/>
      <c r="Z7" s="136"/>
      <c r="AA7" s="80"/>
    </row>
    <row r="8" spans="1:27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45" t="s">
        <v>95</v>
      </c>
      <c r="K8" s="154"/>
      <c r="L8" s="154"/>
      <c r="M8" s="154"/>
      <c r="N8" s="154"/>
      <c r="O8" s="154"/>
      <c r="P8" s="154"/>
      <c r="Q8" s="129"/>
      <c r="R8" s="136"/>
      <c r="S8" s="136"/>
      <c r="T8" s="136"/>
      <c r="U8" s="136"/>
      <c r="V8" s="136"/>
      <c r="W8" s="136"/>
      <c r="X8" s="136"/>
      <c r="Y8" s="136"/>
      <c r="Z8" s="136"/>
      <c r="AA8" s="80"/>
    </row>
    <row r="9" spans="1:27" ht="20.100000000000001" customHeight="1">
      <c r="A9" s="62"/>
      <c r="B9" s="62"/>
      <c r="C9" s="99" t="s">
        <v>40</v>
      </c>
      <c r="D9" s="81"/>
      <c r="E9" s="128"/>
      <c r="F9" s="165"/>
      <c r="G9" s="164"/>
      <c r="H9" s="166"/>
      <c r="I9" s="164"/>
      <c r="J9" s="167"/>
      <c r="K9" s="154"/>
      <c r="L9" s="240"/>
      <c r="M9" s="240"/>
      <c r="N9" s="154"/>
      <c r="O9" s="240"/>
      <c r="P9" s="240"/>
      <c r="Q9" s="129"/>
      <c r="R9" s="136"/>
      <c r="S9" s="136"/>
      <c r="T9" s="136"/>
      <c r="U9" s="136"/>
      <c r="V9" s="136"/>
      <c r="W9" s="136"/>
      <c r="X9" s="136"/>
      <c r="Y9" s="136"/>
      <c r="Z9" s="136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65"/>
      <c r="G10" s="168"/>
      <c r="H10" s="166"/>
      <c r="I10" s="168"/>
      <c r="J10" s="167"/>
      <c r="K10" s="154"/>
      <c r="L10" s="146"/>
      <c r="M10" s="147"/>
      <c r="N10" s="154"/>
      <c r="O10" s="146"/>
      <c r="P10" s="147"/>
      <c r="Q10" s="129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65"/>
      <c r="G11" s="164"/>
      <c r="H11" s="166"/>
      <c r="I11" s="164"/>
      <c r="J11" s="167"/>
      <c r="K11" s="154"/>
      <c r="L11" s="148"/>
      <c r="M11" s="149"/>
      <c r="N11" s="154"/>
      <c r="O11" s="148"/>
      <c r="P11" s="149"/>
      <c r="Q11" s="129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65"/>
      <c r="G12" s="123"/>
      <c r="H12" s="166"/>
      <c r="I12" s="123"/>
      <c r="J12" s="167"/>
      <c r="K12" s="154"/>
      <c r="L12" s="154"/>
      <c r="M12" s="154"/>
      <c r="N12" s="154"/>
      <c r="O12" s="154"/>
      <c r="P12" s="154"/>
      <c r="Q12" s="129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165"/>
      <c r="G13" s="164"/>
      <c r="H13" s="166"/>
      <c r="I13" s="164"/>
      <c r="J13" s="167"/>
      <c r="K13" s="154"/>
      <c r="L13" s="154"/>
      <c r="M13" s="154"/>
      <c r="N13" s="154"/>
      <c r="O13" s="154"/>
      <c r="P13" s="154"/>
      <c r="Q13" s="129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0"/>
      <c r="F14" s="165"/>
      <c r="G14" s="168"/>
      <c r="H14" s="166"/>
      <c r="I14" s="168"/>
      <c r="J14" s="167"/>
      <c r="K14" s="154"/>
      <c r="L14" s="154"/>
      <c r="M14" s="154"/>
      <c r="N14" s="154"/>
      <c r="O14" s="154"/>
      <c r="P14" s="154"/>
      <c r="Q14" s="129"/>
      <c r="R14" s="153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0"/>
      <c r="F15" s="165"/>
      <c r="G15" s="164"/>
      <c r="H15" s="166"/>
      <c r="I15" s="164"/>
      <c r="J15" s="167"/>
      <c r="K15" s="154"/>
      <c r="L15" s="154"/>
      <c r="M15" s="154"/>
      <c r="N15" s="154"/>
      <c r="O15" s="154"/>
      <c r="P15" s="154"/>
      <c r="Q15" s="129"/>
      <c r="R15" s="153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0"/>
      <c r="F16" s="165"/>
      <c r="G16" s="123"/>
      <c r="H16" s="166"/>
      <c r="I16" s="123"/>
      <c r="J16" s="167"/>
      <c r="K16" s="154"/>
      <c r="L16" s="154"/>
      <c r="M16" s="154"/>
      <c r="N16" s="154"/>
      <c r="O16" s="154"/>
      <c r="P16" s="154"/>
      <c r="Q16" s="129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0"/>
      <c r="F17" s="165"/>
      <c r="G17" s="164"/>
      <c r="H17" s="166"/>
      <c r="I17" s="164"/>
      <c r="J17" s="167"/>
      <c r="K17" s="154"/>
      <c r="L17" s="154"/>
      <c r="M17" s="154"/>
      <c r="N17" s="154"/>
      <c r="O17" s="154"/>
      <c r="P17" s="154"/>
      <c r="Q17" s="129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165"/>
      <c r="G18" s="168"/>
      <c r="H18" s="166"/>
      <c r="I18" s="168"/>
      <c r="J18" s="167"/>
      <c r="K18" s="154"/>
      <c r="L18" s="154"/>
      <c r="M18" s="154"/>
      <c r="N18" s="154"/>
      <c r="O18" s="154"/>
      <c r="P18" s="154"/>
      <c r="Q18" s="129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0"/>
      <c r="F19" s="165"/>
      <c r="G19" s="164"/>
      <c r="H19" s="166"/>
      <c r="I19" s="164"/>
      <c r="J19" s="167"/>
      <c r="K19" s="154"/>
      <c r="L19" s="154"/>
      <c r="M19" s="154"/>
      <c r="N19" s="154"/>
      <c r="O19" s="154"/>
      <c r="P19" s="154"/>
      <c r="Q19" s="129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0"/>
      <c r="F20" s="165"/>
      <c r="G20" s="123"/>
      <c r="H20" s="166"/>
      <c r="I20" s="123"/>
      <c r="J20" s="167"/>
      <c r="K20" s="154"/>
      <c r="L20" s="154"/>
      <c r="M20" s="154"/>
      <c r="N20" s="154"/>
      <c r="O20" s="154"/>
      <c r="P20" s="154"/>
      <c r="Q20" s="129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0"/>
      <c r="F21" s="165"/>
      <c r="G21" s="164"/>
      <c r="H21" s="166"/>
      <c r="I21" s="164"/>
      <c r="J21" s="167"/>
      <c r="K21" s="154"/>
      <c r="L21" s="154"/>
      <c r="M21" s="154"/>
      <c r="N21" s="154"/>
      <c r="O21" s="154"/>
      <c r="P21" s="154"/>
      <c r="Q21" s="129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0"/>
      <c r="F22" s="165"/>
      <c r="G22" s="168"/>
      <c r="H22" s="166"/>
      <c r="I22" s="168"/>
      <c r="J22" s="167"/>
      <c r="K22" s="154"/>
      <c r="L22" s="154"/>
      <c r="M22" s="154"/>
      <c r="N22" s="154"/>
      <c r="O22" s="154"/>
      <c r="P22" s="154"/>
      <c r="Q22" s="129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0"/>
      <c r="F23" s="165"/>
      <c r="G23" s="164"/>
      <c r="H23" s="166"/>
      <c r="I23" s="164"/>
      <c r="J23" s="167"/>
      <c r="K23" s="154"/>
      <c r="L23" s="154"/>
      <c r="M23" s="154"/>
      <c r="N23" s="154"/>
      <c r="O23" s="154"/>
      <c r="P23" s="154"/>
      <c r="Q23" s="129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0"/>
      <c r="F24" s="165"/>
      <c r="G24" s="123"/>
      <c r="H24" s="166"/>
      <c r="I24" s="123"/>
      <c r="J24" s="167"/>
      <c r="K24" s="154"/>
      <c r="L24" s="154"/>
      <c r="M24" s="154"/>
      <c r="N24" s="154"/>
      <c r="O24" s="154"/>
      <c r="P24" s="154"/>
      <c r="Q24" s="129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65"/>
      <c r="G25" s="164"/>
      <c r="H25" s="166"/>
      <c r="I25" s="164"/>
      <c r="J25" s="167"/>
      <c r="K25" s="154"/>
      <c r="L25" s="154"/>
      <c r="M25" s="154"/>
      <c r="N25" s="154"/>
      <c r="O25" s="154"/>
      <c r="P25" s="154"/>
      <c r="Q25" s="129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0"/>
      <c r="F26" s="165"/>
      <c r="G26" s="168"/>
      <c r="H26" s="166"/>
      <c r="I26" s="168"/>
      <c r="J26" s="167"/>
      <c r="K26" s="154"/>
      <c r="L26" s="154"/>
      <c r="M26" s="154"/>
      <c r="N26" s="154"/>
      <c r="O26" s="154"/>
      <c r="P26" s="154"/>
      <c r="Q26" s="129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0"/>
      <c r="F27" s="165"/>
      <c r="G27" s="164"/>
      <c r="H27" s="166"/>
      <c r="I27" s="164"/>
      <c r="J27" s="167"/>
      <c r="K27" s="154"/>
      <c r="L27" s="154"/>
      <c r="M27" s="154"/>
      <c r="N27" s="154"/>
      <c r="O27" s="154"/>
      <c r="P27" s="154"/>
      <c r="Q27" s="129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0"/>
      <c r="F28" s="165"/>
      <c r="G28" s="123"/>
      <c r="H28" s="166"/>
      <c r="I28" s="123"/>
      <c r="J28" s="167"/>
      <c r="K28" s="154"/>
      <c r="L28" s="154"/>
      <c r="M28" s="154"/>
      <c r="N28" s="154"/>
      <c r="O28" s="154"/>
      <c r="P28" s="154"/>
      <c r="Q28" s="129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0"/>
      <c r="F29" s="165"/>
      <c r="G29" s="164"/>
      <c r="H29" s="166"/>
      <c r="I29" s="164"/>
      <c r="J29" s="167"/>
      <c r="K29" s="154"/>
      <c r="L29" s="154"/>
      <c r="M29" s="154"/>
      <c r="N29" s="154"/>
      <c r="O29" s="154"/>
      <c r="P29" s="154"/>
      <c r="Q29" s="129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0"/>
      <c r="F30" s="165"/>
      <c r="G30" s="168"/>
      <c r="H30" s="166"/>
      <c r="I30" s="168"/>
      <c r="J30" s="167"/>
      <c r="K30" s="154"/>
      <c r="L30" s="154"/>
      <c r="M30" s="154"/>
      <c r="N30" s="154"/>
      <c r="O30" s="154"/>
      <c r="P30" s="154"/>
      <c r="Q30" s="129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0"/>
      <c r="F31" s="165"/>
      <c r="G31" s="164"/>
      <c r="H31" s="166"/>
      <c r="I31" s="164"/>
      <c r="J31" s="167"/>
      <c r="K31" s="154"/>
      <c r="L31" s="154"/>
      <c r="M31" s="154"/>
      <c r="N31" s="154"/>
      <c r="O31" s="154"/>
      <c r="P31" s="154"/>
      <c r="Q31" s="129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0"/>
      <c r="F32" s="165"/>
      <c r="G32" s="123"/>
      <c r="H32" s="166"/>
      <c r="I32" s="123"/>
      <c r="J32" s="167"/>
      <c r="K32" s="154"/>
      <c r="L32" s="154"/>
      <c r="M32" s="154"/>
      <c r="N32" s="154"/>
      <c r="O32" s="154"/>
      <c r="P32" s="154"/>
      <c r="Q32" s="129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0"/>
      <c r="F33" s="165"/>
      <c r="G33" s="164"/>
      <c r="H33" s="166"/>
      <c r="I33" s="164"/>
      <c r="J33" s="167"/>
      <c r="K33" s="154"/>
      <c r="L33" s="154"/>
      <c r="M33" s="154"/>
      <c r="N33" s="154"/>
      <c r="O33" s="154"/>
      <c r="P33" s="154"/>
      <c r="Q33" s="129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0"/>
      <c r="F34" s="165"/>
      <c r="G34" s="169"/>
      <c r="H34" s="170"/>
      <c r="I34" s="169"/>
      <c r="J34" s="171"/>
      <c r="K34" s="154"/>
      <c r="L34" s="154"/>
      <c r="M34" s="154"/>
      <c r="N34" s="154"/>
      <c r="O34" s="154"/>
      <c r="P34" s="154"/>
      <c r="Q34" s="129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0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29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0"/>
      <c r="F36" s="154"/>
      <c r="G36" s="154"/>
      <c r="H36" s="154"/>
      <c r="I36" s="154"/>
      <c r="J36" s="154"/>
      <c r="K36" s="154"/>
      <c r="L36" s="154"/>
      <c r="M36" s="154"/>
      <c r="N36" s="154"/>
      <c r="O36" s="154"/>
      <c r="P36" s="154"/>
      <c r="Q36" s="129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0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29"/>
    </row>
    <row r="38" spans="1:27" ht="15.75" customHeight="1">
      <c r="A38" s="62"/>
      <c r="B38" s="62"/>
      <c r="C38" s="62"/>
      <c r="D38" s="80"/>
      <c r="E38" s="120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29"/>
    </row>
    <row r="39" spans="1:27" ht="15.75" customHeight="1">
      <c r="A39" s="62"/>
      <c r="B39" s="62"/>
      <c r="C39" s="62"/>
      <c r="D39" s="80"/>
      <c r="E39" s="120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61"/>
    </row>
    <row r="40" spans="1:27" ht="15.75" customHeight="1">
      <c r="A40" s="62"/>
      <c r="B40" s="62"/>
      <c r="C40" s="62"/>
      <c r="D40" s="80"/>
      <c r="E40" s="120"/>
      <c r="F40" s="154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61"/>
    </row>
    <row r="41" spans="1:27" ht="15.75" customHeight="1">
      <c r="A41" s="62"/>
      <c r="B41" s="62"/>
      <c r="C41" s="62"/>
      <c r="D41" s="80"/>
      <c r="E41" s="120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61"/>
    </row>
    <row r="42" spans="1:27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3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27" t="s">
        <v>16</v>
      </c>
      <c r="I61" s="227"/>
      <c r="J61" s="227"/>
      <c r="K61" s="227"/>
      <c r="L61" s="227"/>
      <c r="M61" s="227"/>
      <c r="N61" s="227"/>
      <c r="O61" s="227"/>
      <c r="P61" s="227"/>
      <c r="Q61" s="227"/>
      <c r="R61" s="227"/>
      <c r="S61" s="227"/>
    </row>
    <row r="62" spans="7:19" ht="15.75" customHeight="1">
      <c r="G62" s="134" t="s">
        <v>9</v>
      </c>
      <c r="H62" s="135">
        <v>1</v>
      </c>
      <c r="I62" s="135"/>
      <c r="J62" s="135">
        <v>2</v>
      </c>
      <c r="K62" s="135">
        <v>3</v>
      </c>
      <c r="L62" s="135"/>
      <c r="M62" s="135">
        <v>5</v>
      </c>
      <c r="N62" s="135">
        <v>6</v>
      </c>
      <c r="O62" s="135"/>
      <c r="P62" s="135">
        <v>7</v>
      </c>
      <c r="Q62" s="135">
        <v>8</v>
      </c>
      <c r="R62" s="135">
        <v>9</v>
      </c>
      <c r="S62" s="135">
        <v>10</v>
      </c>
    </row>
    <row r="63" spans="7:19" ht="15.75" customHeight="1">
      <c r="G63" s="13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26" t="s">
        <v>15</v>
      </c>
      <c r="H86" s="226"/>
      <c r="I86" s="226"/>
      <c r="J86" s="226"/>
      <c r="K86" s="43"/>
      <c r="L86" s="43"/>
      <c r="N86" s="215" t="s">
        <v>11</v>
      </c>
      <c r="O86" s="215"/>
      <c r="P86" s="215"/>
      <c r="Q86" s="215"/>
      <c r="R86" s="215"/>
      <c r="S86" s="215"/>
      <c r="U86" s="215" t="s">
        <v>28</v>
      </c>
      <c r="V86" s="215"/>
      <c r="W86" s="215"/>
      <c r="X86" s="215"/>
      <c r="Y86" s="215"/>
    </row>
    <row r="87" spans="7:25" ht="15.75" customHeight="1">
      <c r="G87" s="134" t="s">
        <v>0</v>
      </c>
      <c r="H87" s="134" t="s">
        <v>9</v>
      </c>
      <c r="I87" s="134"/>
      <c r="J87" s="134" t="s">
        <v>30</v>
      </c>
      <c r="K87" s="134" t="s">
        <v>36</v>
      </c>
      <c r="L87" s="101"/>
      <c r="N87" s="215"/>
      <c r="O87" s="215"/>
      <c r="P87" s="215"/>
      <c r="Q87" s="215"/>
      <c r="R87" s="215"/>
      <c r="S87" s="215"/>
      <c r="U87" s="215"/>
      <c r="V87" s="215"/>
      <c r="W87" s="215"/>
      <c r="X87" s="215"/>
      <c r="Y87" s="215"/>
    </row>
    <row r="88" spans="7:25" ht="15.75" customHeight="1">
      <c r="G88" s="134">
        <v>1</v>
      </c>
      <c r="H88" s="134" t="s">
        <v>1</v>
      </c>
      <c r="I88" s="134"/>
      <c r="J88" s="45">
        <v>900000</v>
      </c>
      <c r="K88" s="45">
        <f>J88/2</f>
        <v>450000</v>
      </c>
      <c r="L88" s="102"/>
      <c r="N88" s="206">
        <v>6000000</v>
      </c>
      <c r="O88" s="207"/>
      <c r="P88" s="207"/>
      <c r="Q88" s="207"/>
      <c r="R88" s="207"/>
      <c r="S88" s="208"/>
      <c r="U88" s="206">
        <v>6000000</v>
      </c>
      <c r="V88" s="207"/>
      <c r="W88" s="207"/>
      <c r="X88" s="207"/>
      <c r="Y88" s="208"/>
    </row>
    <row r="89" spans="7:25" ht="15.75" customHeight="1">
      <c r="G89" s="134">
        <v>2</v>
      </c>
      <c r="H89" s="134" t="s">
        <v>2</v>
      </c>
      <c r="I89" s="134"/>
      <c r="J89" s="45">
        <v>800000</v>
      </c>
      <c r="K89" s="45">
        <f t="shared" ref="K89:K94" si="0">J89/2</f>
        <v>400000</v>
      </c>
      <c r="L89" s="102"/>
      <c r="N89" s="209"/>
      <c r="O89" s="210"/>
      <c r="P89" s="210"/>
      <c r="Q89" s="210"/>
      <c r="R89" s="210"/>
      <c r="S89" s="211"/>
      <c r="U89" s="209"/>
      <c r="V89" s="210"/>
      <c r="W89" s="210"/>
      <c r="X89" s="210"/>
      <c r="Y89" s="211"/>
    </row>
    <row r="90" spans="7:25" ht="15.75" customHeight="1">
      <c r="G90" s="134">
        <v>3</v>
      </c>
      <c r="H90" s="134" t="s">
        <v>3</v>
      </c>
      <c r="I90" s="134"/>
      <c r="J90" s="45">
        <v>900000</v>
      </c>
      <c r="K90" s="45">
        <f t="shared" si="0"/>
        <v>450000</v>
      </c>
      <c r="L90" s="102"/>
      <c r="N90" s="209"/>
      <c r="O90" s="210"/>
      <c r="P90" s="210"/>
      <c r="Q90" s="210"/>
      <c r="R90" s="210"/>
      <c r="S90" s="211"/>
      <c r="U90" s="209"/>
      <c r="V90" s="210"/>
      <c r="W90" s="210"/>
      <c r="X90" s="210"/>
      <c r="Y90" s="211"/>
    </row>
    <row r="91" spans="7:25" ht="15.75" customHeight="1">
      <c r="G91" s="134">
        <v>4</v>
      </c>
      <c r="H91" s="134" t="s">
        <v>4</v>
      </c>
      <c r="I91" s="134"/>
      <c r="J91" s="45">
        <v>1000000</v>
      </c>
      <c r="K91" s="45">
        <f t="shared" si="0"/>
        <v>500000</v>
      </c>
      <c r="L91" s="102"/>
      <c r="N91" s="209"/>
      <c r="O91" s="210"/>
      <c r="P91" s="210"/>
      <c r="Q91" s="210"/>
      <c r="R91" s="210"/>
      <c r="S91" s="211"/>
      <c r="U91" s="209"/>
      <c r="V91" s="210"/>
      <c r="W91" s="210"/>
      <c r="X91" s="210"/>
      <c r="Y91" s="211"/>
    </row>
    <row r="92" spans="7:25" ht="15.75" customHeight="1">
      <c r="G92" s="134">
        <v>5</v>
      </c>
      <c r="H92" s="134" t="s">
        <v>5</v>
      </c>
      <c r="I92" s="134"/>
      <c r="J92" s="45">
        <v>400000</v>
      </c>
      <c r="K92" s="45">
        <f t="shared" si="0"/>
        <v>200000</v>
      </c>
      <c r="L92" s="102"/>
      <c r="N92" s="209"/>
      <c r="O92" s="210"/>
      <c r="P92" s="210"/>
      <c r="Q92" s="210"/>
      <c r="R92" s="210"/>
      <c r="S92" s="211"/>
      <c r="U92" s="209"/>
      <c r="V92" s="210"/>
      <c r="W92" s="210"/>
      <c r="X92" s="210"/>
      <c r="Y92" s="211"/>
    </row>
    <row r="93" spans="7:25" ht="15.75" customHeight="1">
      <c r="G93" s="134">
        <v>6</v>
      </c>
      <c r="H93" s="134" t="s">
        <v>6</v>
      </c>
      <c r="I93" s="134"/>
      <c r="J93" s="45">
        <v>100000</v>
      </c>
      <c r="K93" s="45">
        <f t="shared" si="0"/>
        <v>50000</v>
      </c>
      <c r="L93" s="102"/>
      <c r="N93" s="209"/>
      <c r="O93" s="210"/>
      <c r="P93" s="210"/>
      <c r="Q93" s="210"/>
      <c r="R93" s="210"/>
      <c r="S93" s="211"/>
      <c r="U93" s="209"/>
      <c r="V93" s="210"/>
      <c r="W93" s="210"/>
      <c r="X93" s="210"/>
      <c r="Y93" s="211"/>
    </row>
    <row r="94" spans="7:25" ht="15.75" customHeight="1">
      <c r="G94" s="134">
        <v>7</v>
      </c>
      <c r="H94" s="134" t="s">
        <v>7</v>
      </c>
      <c r="I94" s="134"/>
      <c r="J94" s="45">
        <v>100000</v>
      </c>
      <c r="K94" s="45">
        <f t="shared" si="0"/>
        <v>50000</v>
      </c>
      <c r="L94" s="102"/>
      <c r="N94" s="209"/>
      <c r="O94" s="210"/>
      <c r="P94" s="210"/>
      <c r="Q94" s="210"/>
      <c r="R94" s="210"/>
      <c r="S94" s="211"/>
      <c r="U94" s="209"/>
      <c r="V94" s="210"/>
      <c r="W94" s="210"/>
      <c r="X94" s="210"/>
      <c r="Y94" s="211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12"/>
      <c r="O95" s="213"/>
      <c r="P95" s="213"/>
      <c r="Q95" s="213"/>
      <c r="R95" s="213"/>
      <c r="S95" s="214"/>
      <c r="U95" s="212"/>
      <c r="V95" s="213"/>
      <c r="W95" s="213"/>
      <c r="X95" s="213"/>
      <c r="Y95" s="214"/>
    </row>
    <row r="97" spans="7:25" ht="15.75" customHeight="1">
      <c r="G97" s="216" t="s">
        <v>12</v>
      </c>
      <c r="H97" s="216"/>
      <c r="I97" s="216"/>
      <c r="J97" s="216"/>
      <c r="K97" s="216"/>
      <c r="L97" s="101"/>
      <c r="N97" s="215" t="s">
        <v>29</v>
      </c>
      <c r="O97" s="215"/>
      <c r="P97" s="215"/>
      <c r="Q97" s="215"/>
      <c r="R97" s="215"/>
      <c r="S97" s="215"/>
      <c r="U97" s="217" t="s">
        <v>27</v>
      </c>
      <c r="V97" s="218"/>
      <c r="W97" s="218"/>
      <c r="X97" s="218"/>
      <c r="Y97" s="219"/>
    </row>
    <row r="98" spans="7:25" ht="15.75" customHeight="1">
      <c r="G98" s="134" t="s">
        <v>0</v>
      </c>
      <c r="H98" s="134" t="s">
        <v>13</v>
      </c>
      <c r="I98" s="134"/>
      <c r="J98" s="134" t="s">
        <v>9</v>
      </c>
      <c r="K98" s="134" t="s">
        <v>8</v>
      </c>
      <c r="L98" s="101"/>
      <c r="N98" s="215"/>
      <c r="O98" s="215"/>
      <c r="P98" s="215"/>
      <c r="Q98" s="215"/>
      <c r="R98" s="215"/>
      <c r="S98" s="215"/>
      <c r="U98" s="220"/>
      <c r="V98" s="221"/>
      <c r="W98" s="221"/>
      <c r="X98" s="221"/>
      <c r="Y98" s="222"/>
    </row>
    <row r="99" spans="7:25" ht="15.75" customHeight="1">
      <c r="G99" s="134">
        <v>1</v>
      </c>
      <c r="H99" s="134" t="s">
        <v>14</v>
      </c>
      <c r="I99" s="134"/>
      <c r="J99" s="134" t="s">
        <v>4</v>
      </c>
      <c r="K99" s="45">
        <v>2500000</v>
      </c>
      <c r="L99" s="102"/>
      <c r="N99" s="206">
        <v>6000000</v>
      </c>
      <c r="O99" s="207"/>
      <c r="P99" s="207"/>
      <c r="Q99" s="207"/>
      <c r="R99" s="207"/>
      <c r="S99" s="208"/>
      <c r="U99" s="206">
        <v>6000000</v>
      </c>
      <c r="V99" s="207"/>
      <c r="W99" s="207"/>
      <c r="X99" s="207"/>
      <c r="Y99" s="208"/>
    </row>
    <row r="100" spans="7:25" ht="15.75" customHeight="1">
      <c r="G100" s="134">
        <v>2</v>
      </c>
      <c r="H100" s="50" t="s">
        <v>22</v>
      </c>
      <c r="I100" s="50"/>
      <c r="J100" s="134" t="s">
        <v>4</v>
      </c>
      <c r="K100" s="45">
        <v>500000</v>
      </c>
      <c r="L100" s="102"/>
      <c r="N100" s="209"/>
      <c r="O100" s="210"/>
      <c r="P100" s="210"/>
      <c r="Q100" s="210"/>
      <c r="R100" s="210"/>
      <c r="S100" s="211"/>
      <c r="U100" s="209"/>
      <c r="V100" s="210"/>
      <c r="W100" s="210"/>
      <c r="X100" s="210"/>
      <c r="Y100" s="211"/>
    </row>
    <row r="101" spans="7:25" ht="15.75" customHeight="1">
      <c r="G101" s="134"/>
      <c r="H101" s="50"/>
      <c r="I101" s="50"/>
      <c r="J101" s="134"/>
      <c r="K101" s="45"/>
      <c r="L101" s="102"/>
      <c r="N101" s="209"/>
      <c r="O101" s="210"/>
      <c r="P101" s="210"/>
      <c r="Q101" s="210"/>
      <c r="R101" s="210"/>
      <c r="S101" s="211"/>
      <c r="U101" s="209"/>
      <c r="V101" s="210"/>
      <c r="W101" s="210"/>
      <c r="X101" s="210"/>
      <c r="Y101" s="211"/>
    </row>
    <row r="102" spans="7:25" ht="15.75" customHeight="1">
      <c r="G102" s="51"/>
      <c r="H102" s="51"/>
      <c r="I102" s="51"/>
      <c r="J102" s="52"/>
      <c r="K102" s="52"/>
      <c r="L102" s="104"/>
      <c r="N102" s="209"/>
      <c r="O102" s="210"/>
      <c r="P102" s="210"/>
      <c r="Q102" s="210"/>
      <c r="R102" s="210"/>
      <c r="S102" s="211"/>
      <c r="U102" s="209"/>
      <c r="V102" s="210"/>
      <c r="W102" s="210"/>
      <c r="X102" s="210"/>
      <c r="Y102" s="211"/>
    </row>
    <row r="103" spans="7:25" ht="15.75" customHeight="1">
      <c r="G103" s="51"/>
      <c r="H103" s="51"/>
      <c r="I103" s="51"/>
      <c r="J103" s="52"/>
      <c r="K103" s="52"/>
      <c r="L103" s="104"/>
      <c r="N103" s="209"/>
      <c r="O103" s="210"/>
      <c r="P103" s="210"/>
      <c r="Q103" s="210"/>
      <c r="R103" s="210"/>
      <c r="S103" s="211"/>
      <c r="U103" s="209"/>
      <c r="V103" s="210"/>
      <c r="W103" s="210"/>
      <c r="X103" s="210"/>
      <c r="Y103" s="211"/>
    </row>
    <row r="104" spans="7:25" ht="15.75" customHeight="1">
      <c r="G104" s="51"/>
      <c r="H104" s="51"/>
      <c r="I104" s="51"/>
      <c r="J104" s="52"/>
      <c r="K104" s="52"/>
      <c r="L104" s="104"/>
      <c r="N104" s="209"/>
      <c r="O104" s="210"/>
      <c r="P104" s="210"/>
      <c r="Q104" s="210"/>
      <c r="R104" s="210"/>
      <c r="S104" s="211"/>
      <c r="U104" s="209"/>
      <c r="V104" s="210"/>
      <c r="W104" s="210"/>
      <c r="X104" s="210"/>
      <c r="Y104" s="211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09"/>
      <c r="O105" s="210"/>
      <c r="P105" s="210"/>
      <c r="Q105" s="210"/>
      <c r="R105" s="210"/>
      <c r="S105" s="211"/>
      <c r="U105" s="209"/>
      <c r="V105" s="210"/>
      <c r="W105" s="210"/>
      <c r="X105" s="210"/>
      <c r="Y105" s="211"/>
    </row>
    <row r="106" spans="7:25" ht="15.75" customHeight="1">
      <c r="N106" s="212"/>
      <c r="O106" s="213"/>
      <c r="P106" s="213"/>
      <c r="Q106" s="213"/>
      <c r="R106" s="213"/>
      <c r="S106" s="214"/>
      <c r="U106" s="212"/>
      <c r="V106" s="213"/>
      <c r="W106" s="213"/>
      <c r="X106" s="213"/>
      <c r="Y106" s="214"/>
    </row>
    <row r="108" spans="7:25" ht="15.75" customHeight="1">
      <c r="G108" s="226" t="s">
        <v>31</v>
      </c>
      <c r="H108" s="226"/>
      <c r="I108" s="226"/>
      <c r="J108" s="226"/>
    </row>
    <row r="109" spans="7:25" ht="15.75" customHeight="1">
      <c r="G109" s="134" t="s">
        <v>0</v>
      </c>
      <c r="H109" s="134" t="s">
        <v>9</v>
      </c>
      <c r="I109" s="134"/>
      <c r="J109" s="134" t="s">
        <v>8</v>
      </c>
    </row>
    <row r="110" spans="7:25" ht="15.75" customHeight="1">
      <c r="G110" s="134">
        <v>1</v>
      </c>
      <c r="H110" s="134" t="s">
        <v>1</v>
      </c>
      <c r="I110" s="134"/>
      <c r="J110" s="45">
        <f>850000-H63-J63</f>
        <v>719100</v>
      </c>
    </row>
    <row r="111" spans="7:25" ht="15.75" customHeight="1">
      <c r="G111" s="134">
        <v>2</v>
      </c>
      <c r="H111" s="134" t="s">
        <v>2</v>
      </c>
      <c r="I111" s="134"/>
      <c r="J111" s="45">
        <v>800000</v>
      </c>
    </row>
    <row r="112" spans="7:25" ht="15.75" customHeight="1">
      <c r="G112" s="134">
        <v>3</v>
      </c>
      <c r="H112" s="134" t="s">
        <v>3</v>
      </c>
      <c r="I112" s="134"/>
      <c r="J112" s="45">
        <v>850000</v>
      </c>
    </row>
    <row r="113" spans="7:12" ht="15.75" customHeight="1">
      <c r="G113" s="134">
        <v>4</v>
      </c>
      <c r="H113" s="134" t="s">
        <v>4</v>
      </c>
      <c r="I113" s="134"/>
      <c r="J113" s="45">
        <v>1000000</v>
      </c>
    </row>
    <row r="114" spans="7:12" ht="15.75" customHeight="1">
      <c r="G114" s="134">
        <v>5</v>
      </c>
      <c r="H114" s="134" t="s">
        <v>5</v>
      </c>
      <c r="I114" s="134"/>
      <c r="J114" s="45">
        <v>500000</v>
      </c>
    </row>
    <row r="115" spans="7:12" ht="15.75" customHeight="1">
      <c r="G115" s="134">
        <v>6</v>
      </c>
      <c r="H115" s="134" t="s">
        <v>6</v>
      </c>
      <c r="I115" s="134"/>
      <c r="J115" s="45">
        <v>100000</v>
      </c>
    </row>
    <row r="116" spans="7:12" ht="15.75" customHeight="1">
      <c r="G116" s="134">
        <v>7</v>
      </c>
      <c r="H116" s="134" t="s">
        <v>7</v>
      </c>
      <c r="I116" s="134"/>
      <c r="J116" s="45">
        <v>100000</v>
      </c>
    </row>
    <row r="117" spans="7:12" ht="15.75" customHeight="1">
      <c r="G117" s="134">
        <v>8</v>
      </c>
      <c r="H117" s="134" t="s">
        <v>32</v>
      </c>
      <c r="I117" s="134"/>
      <c r="J117" s="45"/>
    </row>
    <row r="118" spans="7:12" ht="15.75" customHeight="1">
      <c r="G118" s="134">
        <v>9</v>
      </c>
      <c r="H118" s="134" t="s">
        <v>33</v>
      </c>
      <c r="I118" s="134"/>
      <c r="J118" s="45"/>
    </row>
    <row r="119" spans="7:12" ht="15.75" customHeight="1">
      <c r="G119" s="134">
        <v>10</v>
      </c>
      <c r="H119" s="134" t="s">
        <v>34</v>
      </c>
      <c r="I119" s="134"/>
      <c r="J119" s="45"/>
    </row>
    <row r="120" spans="7:12" ht="15.75" customHeight="1">
      <c r="G120" s="134">
        <v>11</v>
      </c>
      <c r="H120" s="134" t="s">
        <v>35</v>
      </c>
      <c r="I120" s="134"/>
      <c r="J120" s="45"/>
    </row>
    <row r="121" spans="7:12" ht="15.75" customHeight="1">
      <c r="G121" s="134">
        <v>12</v>
      </c>
      <c r="H121" s="134" t="s">
        <v>12</v>
      </c>
      <c r="I121" s="134"/>
      <c r="J121" s="45">
        <f>K105</f>
        <v>3000000</v>
      </c>
    </row>
    <row r="122" spans="7:12" ht="15.75" customHeight="1">
      <c r="G122" s="151">
        <v>45553</v>
      </c>
      <c r="H122" s="150" t="s">
        <v>89</v>
      </c>
      <c r="I122" s="150">
        <v>30000000</v>
      </c>
      <c r="J122" s="48" t="s">
        <v>1</v>
      </c>
      <c r="K122" s="41" t="s">
        <v>91</v>
      </c>
    </row>
    <row r="123" spans="7:12" ht="15.75" customHeight="1">
      <c r="G123" s="41" t="s">
        <v>92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F7:J7"/>
    <mergeCell ref="E2:P2"/>
    <mergeCell ref="B4:C5"/>
    <mergeCell ref="J6:M6"/>
    <mergeCell ref="N6:Q6"/>
    <mergeCell ref="X6:Y6"/>
    <mergeCell ref="L7:M7"/>
    <mergeCell ref="O7:P7"/>
    <mergeCell ref="L9:M9"/>
    <mergeCell ref="O9:P9"/>
    <mergeCell ref="R6:T6"/>
    <mergeCell ref="U6:W6"/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A125"/>
  <sheetViews>
    <sheetView zoomScale="70" zoomScaleNormal="70" workbookViewId="0">
      <selection activeCell="F13" sqref="F13:P15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7.42578125" style="78" customWidth="1"/>
    <col min="7" max="7" width="24.5703125" style="41" customWidth="1"/>
    <col min="8" max="8" width="3.42578125" style="41" customWidth="1"/>
    <col min="9" max="9" width="5.5703125" style="41" customWidth="1"/>
    <col min="10" max="10" width="26.285156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02" t="s">
        <v>79</v>
      </c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199" t="s">
        <v>72</v>
      </c>
      <c r="C4" s="19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199"/>
      <c r="C5" s="199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241"/>
      <c r="K6" s="242"/>
      <c r="L6" s="242"/>
      <c r="M6" s="242"/>
      <c r="N6" s="241"/>
      <c r="O6" s="241"/>
      <c r="P6" s="242"/>
      <c r="Q6" s="242"/>
      <c r="R6" s="233"/>
      <c r="S6" s="234"/>
      <c r="T6" s="234"/>
      <c r="U6" s="235"/>
      <c r="V6" s="234"/>
      <c r="W6" s="234"/>
      <c r="X6" s="233"/>
      <c r="Y6" s="234"/>
      <c r="Z6" s="83"/>
      <c r="AA6" s="80"/>
    </row>
    <row r="7" spans="1:27" ht="18.95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237" t="s">
        <v>55</v>
      </c>
      <c r="J7" s="237"/>
      <c r="K7" s="71"/>
      <c r="L7" s="236" t="s">
        <v>66</v>
      </c>
      <c r="M7" s="236"/>
      <c r="N7" s="42"/>
      <c r="O7" s="237">
        <v>2024</v>
      </c>
      <c r="P7" s="237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.100000000000001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.100000000000001" customHeight="1">
      <c r="A9" s="62"/>
      <c r="B9" s="62"/>
      <c r="C9" s="99" t="s">
        <v>40</v>
      </c>
      <c r="D9" s="81"/>
      <c r="E9" s="86"/>
      <c r="F9" s="224" t="s">
        <v>75</v>
      </c>
      <c r="G9" s="225"/>
      <c r="H9" s="114"/>
      <c r="I9" s="228" t="s">
        <v>76</v>
      </c>
      <c r="J9" s="229"/>
      <c r="K9" s="87"/>
      <c r="L9" s="224" t="s">
        <v>77</v>
      </c>
      <c r="M9" s="230"/>
      <c r="N9" s="87"/>
      <c r="O9" s="224" t="s">
        <v>78</v>
      </c>
      <c r="P9" s="230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.100000000000001" customHeight="1">
      <c r="A10" s="62"/>
      <c r="B10" s="62"/>
      <c r="C10" s="100" t="s">
        <v>41</v>
      </c>
      <c r="D10" s="80"/>
      <c r="E10" s="87"/>
      <c r="F10" s="90" t="s">
        <v>68</v>
      </c>
      <c r="G10" s="110" t="s">
        <v>69</v>
      </c>
      <c r="H10" s="87"/>
      <c r="I10" s="93" t="s">
        <v>68</v>
      </c>
      <c r="J10" s="94" t="s">
        <v>69</v>
      </c>
      <c r="K10" s="87"/>
      <c r="L10" s="90" t="s">
        <v>68</v>
      </c>
      <c r="M10" s="92" t="s">
        <v>69</v>
      </c>
      <c r="N10" s="87"/>
      <c r="O10" s="90" t="s">
        <v>68</v>
      </c>
      <c r="P10" s="92" t="s">
        <v>69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70</v>
      </c>
      <c r="H11" s="87"/>
      <c r="I11" s="95">
        <v>0.5</v>
      </c>
      <c r="J11" s="111" t="s">
        <v>70</v>
      </c>
      <c r="K11" s="87"/>
      <c r="L11" s="91">
        <v>0.5</v>
      </c>
      <c r="M11" s="112" t="s">
        <v>70</v>
      </c>
      <c r="N11" s="87"/>
      <c r="O11" s="91">
        <v>0.5</v>
      </c>
      <c r="P11" s="112" t="s">
        <v>70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87"/>
      <c r="F13" s="224" t="s">
        <v>75</v>
      </c>
      <c r="G13" s="225"/>
      <c r="H13" s="114"/>
      <c r="I13" s="228" t="s">
        <v>76</v>
      </c>
      <c r="J13" s="229"/>
      <c r="K13" s="87"/>
      <c r="L13" s="224" t="s">
        <v>77</v>
      </c>
      <c r="M13" s="230"/>
      <c r="N13" s="87"/>
      <c r="O13" s="224" t="s">
        <v>78</v>
      </c>
      <c r="P13" s="230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90" t="s">
        <v>68</v>
      </c>
      <c r="G14" s="110" t="s">
        <v>69</v>
      </c>
      <c r="H14" s="87"/>
      <c r="I14" s="93" t="s">
        <v>68</v>
      </c>
      <c r="J14" s="94" t="s">
        <v>69</v>
      </c>
      <c r="K14" s="87"/>
      <c r="L14" s="90" t="s">
        <v>68</v>
      </c>
      <c r="M14" s="92" t="s">
        <v>69</v>
      </c>
      <c r="N14" s="87"/>
      <c r="O14" s="90" t="s">
        <v>68</v>
      </c>
      <c r="P14" s="92" t="s">
        <v>69</v>
      </c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91">
        <v>0.5</v>
      </c>
      <c r="G15" s="112" t="s">
        <v>70</v>
      </c>
      <c r="H15" s="87"/>
      <c r="I15" s="95">
        <v>0.5</v>
      </c>
      <c r="J15" s="111" t="s">
        <v>70</v>
      </c>
      <c r="K15" s="87"/>
      <c r="L15" s="91">
        <v>0.5</v>
      </c>
      <c r="M15" s="112" t="s">
        <v>70</v>
      </c>
      <c r="N15" s="87"/>
      <c r="O15" s="91">
        <v>0.5</v>
      </c>
      <c r="P15" s="112" t="s">
        <v>70</v>
      </c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27" t="s">
        <v>16</v>
      </c>
      <c r="I61" s="227"/>
      <c r="J61" s="227"/>
      <c r="K61" s="227"/>
      <c r="L61" s="227"/>
      <c r="M61" s="227"/>
      <c r="N61" s="227"/>
      <c r="O61" s="227"/>
      <c r="P61" s="227"/>
      <c r="Q61" s="227"/>
      <c r="R61" s="227"/>
      <c r="S61" s="227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26" t="s">
        <v>15</v>
      </c>
      <c r="H86" s="226"/>
      <c r="I86" s="226"/>
      <c r="J86" s="226"/>
      <c r="K86" s="43"/>
      <c r="L86" s="43"/>
      <c r="N86" s="215" t="s">
        <v>11</v>
      </c>
      <c r="O86" s="215"/>
      <c r="P86" s="215"/>
      <c r="Q86" s="215"/>
      <c r="R86" s="215"/>
      <c r="S86" s="215"/>
      <c r="U86" s="215" t="s">
        <v>28</v>
      </c>
      <c r="V86" s="215"/>
      <c r="W86" s="215"/>
      <c r="X86" s="215"/>
      <c r="Y86" s="215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K87" s="44" t="s">
        <v>36</v>
      </c>
      <c r="L87" s="101"/>
      <c r="N87" s="215"/>
      <c r="O87" s="215"/>
      <c r="P87" s="215"/>
      <c r="Q87" s="215"/>
      <c r="R87" s="215"/>
      <c r="S87" s="215"/>
      <c r="U87" s="215"/>
      <c r="V87" s="215"/>
      <c r="W87" s="215"/>
      <c r="X87" s="215"/>
      <c r="Y87" s="215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K88" s="45">
        <f>J88/2</f>
        <v>450000</v>
      </c>
      <c r="L88" s="102"/>
      <c r="N88" s="206">
        <v>6000000</v>
      </c>
      <c r="O88" s="207"/>
      <c r="P88" s="207"/>
      <c r="Q88" s="207"/>
      <c r="R88" s="207"/>
      <c r="S88" s="208"/>
      <c r="U88" s="206">
        <v>6000000</v>
      </c>
      <c r="V88" s="207"/>
      <c r="W88" s="207"/>
      <c r="X88" s="207"/>
      <c r="Y88" s="208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K89" s="45">
        <f t="shared" ref="K89:K94" si="0">J89/2</f>
        <v>400000</v>
      </c>
      <c r="L89" s="102"/>
      <c r="N89" s="209"/>
      <c r="O89" s="210"/>
      <c r="P89" s="210"/>
      <c r="Q89" s="210"/>
      <c r="R89" s="210"/>
      <c r="S89" s="211"/>
      <c r="U89" s="209"/>
      <c r="V89" s="210"/>
      <c r="W89" s="210"/>
      <c r="X89" s="210"/>
      <c r="Y89" s="211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K90" s="45">
        <f t="shared" si="0"/>
        <v>450000</v>
      </c>
      <c r="L90" s="102"/>
      <c r="N90" s="209"/>
      <c r="O90" s="210"/>
      <c r="P90" s="210"/>
      <c r="Q90" s="210"/>
      <c r="R90" s="210"/>
      <c r="S90" s="211"/>
      <c r="U90" s="209"/>
      <c r="V90" s="210"/>
      <c r="W90" s="210"/>
      <c r="X90" s="210"/>
      <c r="Y90" s="211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K91" s="45">
        <f t="shared" si="0"/>
        <v>500000</v>
      </c>
      <c r="L91" s="102"/>
      <c r="N91" s="209"/>
      <c r="O91" s="210"/>
      <c r="P91" s="210"/>
      <c r="Q91" s="210"/>
      <c r="R91" s="210"/>
      <c r="S91" s="211"/>
      <c r="U91" s="209"/>
      <c r="V91" s="210"/>
      <c r="W91" s="210"/>
      <c r="X91" s="210"/>
      <c r="Y91" s="211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K92" s="45">
        <f t="shared" si="0"/>
        <v>200000</v>
      </c>
      <c r="L92" s="102"/>
      <c r="N92" s="209"/>
      <c r="O92" s="210"/>
      <c r="P92" s="210"/>
      <c r="Q92" s="210"/>
      <c r="R92" s="210"/>
      <c r="S92" s="211"/>
      <c r="U92" s="209"/>
      <c r="V92" s="210"/>
      <c r="W92" s="210"/>
      <c r="X92" s="210"/>
      <c r="Y92" s="211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K93" s="45">
        <f t="shared" si="0"/>
        <v>50000</v>
      </c>
      <c r="L93" s="102"/>
      <c r="N93" s="209"/>
      <c r="O93" s="210"/>
      <c r="P93" s="210"/>
      <c r="Q93" s="210"/>
      <c r="R93" s="210"/>
      <c r="S93" s="211"/>
      <c r="U93" s="209"/>
      <c r="V93" s="210"/>
      <c r="W93" s="210"/>
      <c r="X93" s="210"/>
      <c r="Y93" s="211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K94" s="45">
        <f t="shared" si="0"/>
        <v>50000</v>
      </c>
      <c r="L94" s="102"/>
      <c r="N94" s="209"/>
      <c r="O94" s="210"/>
      <c r="P94" s="210"/>
      <c r="Q94" s="210"/>
      <c r="R94" s="210"/>
      <c r="S94" s="211"/>
      <c r="U94" s="209"/>
      <c r="V94" s="210"/>
      <c r="W94" s="210"/>
      <c r="X94" s="210"/>
      <c r="Y94" s="211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12"/>
      <c r="O95" s="213"/>
      <c r="P95" s="213"/>
      <c r="Q95" s="213"/>
      <c r="R95" s="213"/>
      <c r="S95" s="214"/>
      <c r="U95" s="212"/>
      <c r="V95" s="213"/>
      <c r="W95" s="213"/>
      <c r="X95" s="213"/>
      <c r="Y95" s="214"/>
    </row>
    <row r="97" spans="7:25" ht="15.75" customHeight="1">
      <c r="G97" s="216" t="s">
        <v>12</v>
      </c>
      <c r="H97" s="216"/>
      <c r="I97" s="216"/>
      <c r="J97" s="216"/>
      <c r="K97" s="216"/>
      <c r="L97" s="101"/>
      <c r="N97" s="215" t="s">
        <v>29</v>
      </c>
      <c r="O97" s="215"/>
      <c r="P97" s="215"/>
      <c r="Q97" s="215"/>
      <c r="R97" s="215"/>
      <c r="S97" s="215"/>
      <c r="U97" s="217" t="s">
        <v>27</v>
      </c>
      <c r="V97" s="218"/>
      <c r="W97" s="218"/>
      <c r="X97" s="218"/>
      <c r="Y97" s="219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215"/>
      <c r="O98" s="215"/>
      <c r="P98" s="215"/>
      <c r="Q98" s="215"/>
      <c r="R98" s="215"/>
      <c r="S98" s="215"/>
      <c r="U98" s="220"/>
      <c r="V98" s="221"/>
      <c r="W98" s="221"/>
      <c r="X98" s="221"/>
      <c r="Y98" s="222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206">
        <v>6000000</v>
      </c>
      <c r="O99" s="207"/>
      <c r="P99" s="207"/>
      <c r="Q99" s="207"/>
      <c r="R99" s="207"/>
      <c r="S99" s="208"/>
      <c r="U99" s="206">
        <v>6000000</v>
      </c>
      <c r="V99" s="207"/>
      <c r="W99" s="207"/>
      <c r="X99" s="207"/>
      <c r="Y99" s="208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209"/>
      <c r="O100" s="210"/>
      <c r="P100" s="210"/>
      <c r="Q100" s="210"/>
      <c r="R100" s="210"/>
      <c r="S100" s="211"/>
      <c r="U100" s="209"/>
      <c r="V100" s="210"/>
      <c r="W100" s="210"/>
      <c r="X100" s="210"/>
      <c r="Y100" s="211"/>
    </row>
    <row r="101" spans="7:25" ht="15.75" customHeight="1">
      <c r="G101" s="44"/>
      <c r="H101" s="50"/>
      <c r="I101" s="50"/>
      <c r="J101" s="44"/>
      <c r="K101" s="45"/>
      <c r="L101" s="102"/>
      <c r="N101" s="209"/>
      <c r="O101" s="210"/>
      <c r="P101" s="210"/>
      <c r="Q101" s="210"/>
      <c r="R101" s="210"/>
      <c r="S101" s="211"/>
      <c r="U101" s="209"/>
      <c r="V101" s="210"/>
      <c r="W101" s="210"/>
      <c r="X101" s="210"/>
      <c r="Y101" s="211"/>
    </row>
    <row r="102" spans="7:25" ht="15.75" customHeight="1">
      <c r="G102" s="51"/>
      <c r="H102" s="51"/>
      <c r="I102" s="51"/>
      <c r="J102" s="52"/>
      <c r="K102" s="52"/>
      <c r="L102" s="104"/>
      <c r="N102" s="209"/>
      <c r="O102" s="210"/>
      <c r="P102" s="210"/>
      <c r="Q102" s="210"/>
      <c r="R102" s="210"/>
      <c r="S102" s="211"/>
      <c r="U102" s="209"/>
      <c r="V102" s="210"/>
      <c r="W102" s="210"/>
      <c r="X102" s="210"/>
      <c r="Y102" s="211"/>
    </row>
    <row r="103" spans="7:25" ht="15.75" customHeight="1">
      <c r="G103" s="51"/>
      <c r="H103" s="51"/>
      <c r="I103" s="51"/>
      <c r="J103" s="52"/>
      <c r="K103" s="52"/>
      <c r="L103" s="104"/>
      <c r="N103" s="209"/>
      <c r="O103" s="210"/>
      <c r="P103" s="210"/>
      <c r="Q103" s="210"/>
      <c r="R103" s="210"/>
      <c r="S103" s="211"/>
      <c r="U103" s="209"/>
      <c r="V103" s="210"/>
      <c r="W103" s="210"/>
      <c r="X103" s="210"/>
      <c r="Y103" s="211"/>
    </row>
    <row r="104" spans="7:25" ht="15.75" customHeight="1">
      <c r="G104" s="51"/>
      <c r="H104" s="51"/>
      <c r="I104" s="51"/>
      <c r="J104" s="52"/>
      <c r="K104" s="52"/>
      <c r="L104" s="104"/>
      <c r="N104" s="209"/>
      <c r="O104" s="210"/>
      <c r="P104" s="210"/>
      <c r="Q104" s="210"/>
      <c r="R104" s="210"/>
      <c r="S104" s="211"/>
      <c r="U104" s="209"/>
      <c r="V104" s="210"/>
      <c r="W104" s="210"/>
      <c r="X104" s="210"/>
      <c r="Y104" s="211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09"/>
      <c r="O105" s="210"/>
      <c r="P105" s="210"/>
      <c r="Q105" s="210"/>
      <c r="R105" s="210"/>
      <c r="S105" s="211"/>
      <c r="U105" s="209"/>
      <c r="V105" s="210"/>
      <c r="W105" s="210"/>
      <c r="X105" s="210"/>
      <c r="Y105" s="211"/>
    </row>
    <row r="106" spans="7:25" ht="15.75" customHeight="1">
      <c r="N106" s="212"/>
      <c r="O106" s="213"/>
      <c r="P106" s="213"/>
      <c r="Q106" s="213"/>
      <c r="R106" s="213"/>
      <c r="S106" s="214"/>
      <c r="U106" s="212"/>
      <c r="V106" s="213"/>
      <c r="W106" s="213"/>
      <c r="X106" s="213"/>
      <c r="Y106" s="214"/>
    </row>
    <row r="108" spans="7:25" ht="15.75" customHeight="1">
      <c r="G108" s="226" t="s">
        <v>31</v>
      </c>
      <c r="H108" s="226"/>
      <c r="I108" s="226"/>
      <c r="J108" s="226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  <mergeCell ref="F13:G13"/>
    <mergeCell ref="I13:J13"/>
    <mergeCell ref="L13:M13"/>
    <mergeCell ref="O13:P13"/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PENGATURAN!$B$5:$B$16</xm:f>
          </x14:formula1>
          <xm:sqref>I7:J7</xm:sqref>
        </x14:dataValidation>
        <x14:dataValidation type="list" showInputMessage="1" showErrorMessage="1">
          <x14:formula1>
            <xm:f>PENGATURAN!$D$5:$D$16</xm:f>
          </x14:formula1>
          <xm:sqref>O7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O51"/>
  <sheetViews>
    <sheetView zoomScale="70" zoomScaleNormal="70" workbookViewId="0">
      <selection activeCell="C24" sqref="C24"/>
    </sheetView>
  </sheetViews>
  <sheetFormatPr defaultRowHeight="12.75"/>
  <cols>
    <col min="2" max="2" width="27" customWidth="1"/>
    <col min="5" max="5" width="34.42578125" customWidth="1"/>
    <col min="6" max="6" width="15.7109375" customWidth="1"/>
    <col min="9" max="9" width="24.140625" customWidth="1"/>
    <col min="10" max="10" width="37.42578125" customWidth="1"/>
    <col min="11" max="11" width="28.42578125" customWidth="1"/>
    <col min="12" max="12" width="17.140625" customWidth="1"/>
    <col min="13" max="13" width="15" customWidth="1"/>
  </cols>
  <sheetData>
    <row r="4" spans="2:8">
      <c r="B4" s="84" t="s">
        <v>54</v>
      </c>
      <c r="D4" s="84" t="s">
        <v>67</v>
      </c>
      <c r="F4" s="115" t="s">
        <v>80</v>
      </c>
      <c r="G4" s="115" t="s">
        <v>81</v>
      </c>
      <c r="H4" s="115" t="s">
        <v>82</v>
      </c>
    </row>
    <row r="5" spans="2:8">
      <c r="B5" s="84" t="s">
        <v>55</v>
      </c>
      <c r="D5">
        <v>2024</v>
      </c>
      <c r="F5" s="116" t="s">
        <v>55</v>
      </c>
      <c r="G5" s="116">
        <v>500</v>
      </c>
      <c r="H5" s="116">
        <v>600</v>
      </c>
    </row>
    <row r="6" spans="2:8">
      <c r="B6" s="84" t="s">
        <v>56</v>
      </c>
      <c r="D6">
        <v>2025</v>
      </c>
      <c r="F6" s="116" t="s">
        <v>56</v>
      </c>
      <c r="G6" s="116">
        <v>550</v>
      </c>
      <c r="H6" s="116">
        <v>620</v>
      </c>
    </row>
    <row r="7" spans="2:8">
      <c r="B7" s="84" t="s">
        <v>57</v>
      </c>
      <c r="C7" t="s">
        <v>38</v>
      </c>
      <c r="D7">
        <v>2026</v>
      </c>
      <c r="F7" s="116" t="s">
        <v>57</v>
      </c>
      <c r="G7" s="116">
        <v>580</v>
      </c>
      <c r="H7" s="116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107</v>
      </c>
      <c r="D14">
        <v>2033</v>
      </c>
    </row>
    <row r="15" spans="2:8">
      <c r="B15" s="84" t="s">
        <v>64</v>
      </c>
      <c r="D15">
        <v>2034</v>
      </c>
    </row>
    <row r="16" spans="2:8">
      <c r="B16" s="84" t="s">
        <v>65</v>
      </c>
      <c r="D16">
        <v>2035</v>
      </c>
    </row>
    <row r="18" spans="2:15">
      <c r="E18" t="s">
        <v>103</v>
      </c>
    </row>
    <row r="19" spans="2:15">
      <c r="E19" t="str">
        <f ca="1">TEXT(TODAY(),"mmmm")</f>
        <v>October</v>
      </c>
    </row>
    <row r="20" spans="2:15">
      <c r="B20" s="96" t="s">
        <v>9</v>
      </c>
      <c r="C20" s="197" t="s">
        <v>10</v>
      </c>
    </row>
    <row r="21" spans="2:15">
      <c r="B21" s="96" t="s">
        <v>1</v>
      </c>
      <c r="C21" s="198"/>
    </row>
    <row r="22" spans="2:15">
      <c r="B22" s="96" t="s">
        <v>2</v>
      </c>
      <c r="C22" s="198"/>
    </row>
    <row r="23" spans="2:15">
      <c r="B23" s="96" t="s">
        <v>3</v>
      </c>
      <c r="C23" s="198"/>
    </row>
    <row r="24" spans="2:15">
      <c r="B24" s="96" t="s">
        <v>4</v>
      </c>
      <c r="C24" s="198">
        <v>105000</v>
      </c>
    </row>
    <row r="25" spans="2:15">
      <c r="B25" s="96" t="s">
        <v>5</v>
      </c>
      <c r="C25" s="198"/>
    </row>
    <row r="26" spans="2:15">
      <c r="B26" s="96" t="s">
        <v>6</v>
      </c>
      <c r="C26" s="198"/>
    </row>
    <row r="27" spans="2:15">
      <c r="B27" s="96" t="s">
        <v>7</v>
      </c>
      <c r="C27" s="198"/>
    </row>
    <row r="28" spans="2:15">
      <c r="B28" s="152" t="s">
        <v>32</v>
      </c>
      <c r="C28" s="198"/>
      <c r="E28" s="243" t="s">
        <v>110</v>
      </c>
      <c r="F28" s="243"/>
      <c r="G28" s="243"/>
    </row>
    <row r="29" spans="2:15">
      <c r="B29" s="152" t="s">
        <v>33</v>
      </c>
      <c r="C29" s="198"/>
      <c r="E29" t="s">
        <v>109</v>
      </c>
      <c r="F29">
        <v>3449200</v>
      </c>
    </row>
    <row r="30" spans="2:15">
      <c r="B30" s="152" t="s">
        <v>34</v>
      </c>
      <c r="C30" s="198"/>
      <c r="E30" t="s">
        <v>108</v>
      </c>
      <c r="F30">
        <v>1922976</v>
      </c>
    </row>
    <row r="31" spans="2:15">
      <c r="B31" s="152" t="s">
        <v>35</v>
      </c>
      <c r="C31" s="198"/>
      <c r="E31" t="s">
        <v>111</v>
      </c>
      <c r="F31">
        <v>3449200</v>
      </c>
      <c r="I31" s="226" t="s">
        <v>15</v>
      </c>
      <c r="J31" s="226"/>
      <c r="K31" s="226"/>
      <c r="L31" s="226"/>
      <c r="M31" s="43"/>
      <c r="N31" s="43"/>
      <c r="O31" s="41"/>
    </row>
    <row r="32" spans="2:15">
      <c r="B32" s="152" t="s">
        <v>12</v>
      </c>
      <c r="C32" s="198"/>
      <c r="F32">
        <f>SUM(F29:F31)</f>
        <v>8821376</v>
      </c>
      <c r="I32" s="142" t="s">
        <v>0</v>
      </c>
      <c r="J32" s="142" t="s">
        <v>9</v>
      </c>
      <c r="K32" s="142"/>
      <c r="L32" s="142" t="s">
        <v>30</v>
      </c>
      <c r="M32" s="142" t="s">
        <v>36</v>
      </c>
      <c r="N32" s="101"/>
      <c r="O32" s="41"/>
    </row>
    <row r="33" spans="2:15">
      <c r="I33" s="142">
        <v>1</v>
      </c>
      <c r="J33" s="142" t="s">
        <v>1</v>
      </c>
      <c r="K33" s="142"/>
      <c r="L33" s="45">
        <v>900000</v>
      </c>
      <c r="M33" s="45">
        <f>L33/2</f>
        <v>450000</v>
      </c>
      <c r="N33" s="102"/>
      <c r="O33" s="41"/>
    </row>
    <row r="34" spans="2:15">
      <c r="I34" s="142">
        <v>2</v>
      </c>
      <c r="J34" s="142" t="s">
        <v>2</v>
      </c>
      <c r="K34" s="142"/>
      <c r="L34" s="45">
        <v>800000</v>
      </c>
      <c r="M34" s="45">
        <f t="shared" ref="M34:M39" si="0">L34/2</f>
        <v>400000</v>
      </c>
      <c r="N34" s="102"/>
      <c r="O34" s="41"/>
    </row>
    <row r="35" spans="2:15">
      <c r="E35" t="s">
        <v>4</v>
      </c>
      <c r="F35">
        <v>1000000</v>
      </c>
      <c r="I35" s="142">
        <v>3</v>
      </c>
      <c r="J35" s="142" t="s">
        <v>3</v>
      </c>
      <c r="K35" s="142"/>
      <c r="L35" s="45">
        <v>900000</v>
      </c>
      <c r="M35" s="45">
        <f t="shared" si="0"/>
        <v>450000</v>
      </c>
      <c r="N35" s="102"/>
      <c r="O35" s="41"/>
    </row>
    <row r="36" spans="2:15">
      <c r="F36">
        <v>12</v>
      </c>
      <c r="I36" s="142">
        <v>4</v>
      </c>
      <c r="J36" s="142" t="s">
        <v>4</v>
      </c>
      <c r="K36" s="142"/>
      <c r="L36" s="45">
        <v>1000000</v>
      </c>
      <c r="M36" s="45">
        <f t="shared" si="0"/>
        <v>500000</v>
      </c>
      <c r="N36" s="102"/>
      <c r="O36" s="41"/>
    </row>
    <row r="37" spans="2:15">
      <c r="F37">
        <f>F35*F36</f>
        <v>12000000</v>
      </c>
      <c r="I37" s="142">
        <v>5</v>
      </c>
      <c r="J37" s="142" t="s">
        <v>5</v>
      </c>
      <c r="K37" s="142"/>
      <c r="L37" s="45">
        <v>400000</v>
      </c>
      <c r="M37" s="45">
        <f t="shared" si="0"/>
        <v>200000</v>
      </c>
      <c r="N37" s="102"/>
      <c r="O37" s="41"/>
    </row>
    <row r="38" spans="2:15">
      <c r="B38" s="84" t="s">
        <v>113</v>
      </c>
      <c r="I38" s="142">
        <v>6</v>
      </c>
      <c r="J38" s="142" t="s">
        <v>6</v>
      </c>
      <c r="K38" s="142"/>
      <c r="L38" s="45">
        <v>100000</v>
      </c>
      <c r="M38" s="45">
        <f t="shared" si="0"/>
        <v>50000</v>
      </c>
      <c r="N38" s="102"/>
      <c r="O38" s="41"/>
    </row>
    <row r="39" spans="2:15">
      <c r="B39" t="str">
        <f ca="1">TEXT(TODAY(),"dd mmmm yyyy")</f>
        <v>12 October 2024</v>
      </c>
      <c r="E39" t="s">
        <v>112</v>
      </c>
      <c r="F39">
        <v>1000000</v>
      </c>
      <c r="I39" s="142">
        <v>7</v>
      </c>
      <c r="J39" s="142" t="s">
        <v>7</v>
      </c>
      <c r="K39" s="142"/>
      <c r="L39" s="45">
        <v>100000</v>
      </c>
      <c r="M39" s="45">
        <f t="shared" si="0"/>
        <v>50000</v>
      </c>
      <c r="N39" s="102"/>
      <c r="O39" s="41"/>
    </row>
    <row r="40" spans="2:15">
      <c r="F40">
        <v>12</v>
      </c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2:15">
      <c r="F41">
        <f>F39*F40</f>
        <v>12000000</v>
      </c>
      <c r="I41" s="41"/>
      <c r="J41" s="41"/>
      <c r="K41" s="41"/>
      <c r="L41" s="41"/>
      <c r="M41" s="41"/>
      <c r="N41" s="41"/>
      <c r="O41" s="41"/>
    </row>
    <row r="42" spans="2:15">
      <c r="I42" s="216" t="s">
        <v>12</v>
      </c>
      <c r="J42" s="216"/>
      <c r="K42" s="216"/>
      <c r="L42" s="216"/>
      <c r="M42" s="216"/>
      <c r="N42" s="101"/>
      <c r="O42" s="41"/>
    </row>
    <row r="43" spans="2:15">
      <c r="F43">
        <f>F32+F37+F41</f>
        <v>32821376</v>
      </c>
      <c r="I43" s="142" t="s">
        <v>0</v>
      </c>
      <c r="J43" s="142" t="s">
        <v>13</v>
      </c>
      <c r="K43" s="142"/>
      <c r="L43" s="142" t="s">
        <v>9</v>
      </c>
      <c r="M43" s="142" t="s">
        <v>8</v>
      </c>
      <c r="N43" s="101"/>
      <c r="O43" s="41"/>
    </row>
    <row r="44" spans="2:15">
      <c r="I44" s="142">
        <v>1</v>
      </c>
      <c r="J44" s="142" t="s">
        <v>14</v>
      </c>
      <c r="K44" s="142"/>
      <c r="L44" s="142" t="s">
        <v>4</v>
      </c>
      <c r="M44" s="45">
        <v>2500000</v>
      </c>
      <c r="N44" s="102"/>
      <c r="O44" s="41"/>
    </row>
    <row r="45" spans="2:15">
      <c r="I45" s="142">
        <v>2</v>
      </c>
      <c r="J45" s="50" t="s">
        <v>22</v>
      </c>
      <c r="K45" s="50"/>
      <c r="L45" s="142" t="s">
        <v>4</v>
      </c>
      <c r="M45" s="45">
        <v>500000</v>
      </c>
      <c r="N45" s="102"/>
      <c r="O45" s="41"/>
    </row>
    <row r="46" spans="2:15">
      <c r="I46" s="142"/>
      <c r="J46" s="50"/>
      <c r="K46" s="50"/>
      <c r="L46" s="142"/>
      <c r="M46" s="45"/>
      <c r="N46" s="102"/>
      <c r="O46" s="41"/>
    </row>
    <row r="47" spans="2:15">
      <c r="I47" s="51"/>
      <c r="J47" s="51"/>
      <c r="K47" s="51"/>
      <c r="L47" s="52"/>
      <c r="M47" s="52"/>
      <c r="N47" s="104"/>
      <c r="O47" s="41"/>
    </row>
    <row r="48" spans="2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3">
    <mergeCell ref="I31:L31"/>
    <mergeCell ref="I42:M42"/>
    <mergeCell ref="E28:G2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34"/>
  <sheetViews>
    <sheetView zoomScale="40" zoomScaleNormal="40" workbookViewId="0">
      <selection activeCell="H58" sqref="H58"/>
    </sheetView>
  </sheetViews>
  <sheetFormatPr defaultRowHeight="12.75"/>
  <cols>
    <col min="2" max="2" width="24.140625" customWidth="1"/>
    <col min="3" max="3" width="17.7109375" customWidth="1"/>
    <col min="7" max="7" width="14.42578125" customWidth="1"/>
    <col min="8" max="8" width="17.7109375" customWidth="1"/>
    <col min="9" max="9" width="18.14062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49" t="s">
        <v>26</v>
      </c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1"/>
    </row>
    <row r="4" spans="2:21" ht="12.75" customHeight="1" thickBot="1">
      <c r="B4" s="244" t="s">
        <v>43</v>
      </c>
      <c r="C4" s="245"/>
      <c r="G4" s="57">
        <v>23</v>
      </c>
      <c r="H4" s="60">
        <v>123</v>
      </c>
      <c r="I4" s="61">
        <v>123</v>
      </c>
      <c r="J4" s="252"/>
      <c r="K4" s="253"/>
      <c r="L4" s="253"/>
      <c r="M4" s="253"/>
      <c r="N4" s="253"/>
      <c r="O4" s="253"/>
      <c r="P4" s="253"/>
      <c r="Q4" s="253"/>
      <c r="R4" s="253"/>
      <c r="S4" s="253"/>
      <c r="T4" s="253"/>
      <c r="U4" s="254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52">
        <v>123</v>
      </c>
      <c r="K5" s="253"/>
      <c r="L5" s="253"/>
      <c r="M5" s="253"/>
      <c r="N5" s="253"/>
      <c r="O5" s="253"/>
      <c r="P5" s="253"/>
      <c r="Q5" s="253"/>
      <c r="R5" s="253"/>
      <c r="S5" s="253"/>
      <c r="T5" s="253"/>
      <c r="U5" s="254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52">
        <v>123</v>
      </c>
      <c r="K6" s="253"/>
      <c r="L6" s="253"/>
      <c r="M6" s="253"/>
      <c r="N6" s="253"/>
      <c r="O6" s="253"/>
      <c r="P6" s="253"/>
      <c r="Q6" s="253"/>
      <c r="R6" s="253"/>
      <c r="S6" s="253"/>
      <c r="T6" s="253"/>
      <c r="U6" s="254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52">
        <v>123</v>
      </c>
      <c r="K7" s="253"/>
      <c r="L7" s="253"/>
      <c r="M7" s="253"/>
      <c r="N7" s="253"/>
      <c r="O7" s="253"/>
      <c r="P7" s="253"/>
      <c r="Q7" s="253"/>
      <c r="R7" s="253"/>
      <c r="S7" s="253"/>
      <c r="T7" s="253"/>
      <c r="U7" s="254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52" t="s">
        <v>47</v>
      </c>
      <c r="K8" s="253"/>
      <c r="L8" s="253"/>
      <c r="M8" s="253"/>
      <c r="N8" s="253"/>
      <c r="O8" s="253"/>
      <c r="P8" s="253"/>
      <c r="Q8" s="253"/>
      <c r="R8" s="253"/>
      <c r="S8" s="253"/>
      <c r="T8" s="253"/>
      <c r="U8" s="254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52">
        <v>4</v>
      </c>
      <c r="K9" s="253"/>
      <c r="L9" s="253"/>
      <c r="M9" s="253"/>
      <c r="N9" s="253"/>
      <c r="O9" s="253"/>
      <c r="P9" s="253"/>
      <c r="Q9" s="253"/>
      <c r="R9" s="253"/>
      <c r="S9" s="253"/>
      <c r="T9" s="253"/>
      <c r="U9" s="254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52" t="s">
        <v>50</v>
      </c>
      <c r="K10" s="253"/>
      <c r="L10" s="253"/>
      <c r="M10" s="253"/>
      <c r="N10" s="253"/>
      <c r="O10" s="253"/>
      <c r="P10" s="253"/>
      <c r="Q10" s="253"/>
      <c r="R10" s="253"/>
      <c r="S10" s="253"/>
      <c r="T10" s="253"/>
      <c r="U10" s="254"/>
    </row>
    <row r="11" spans="2:21" ht="12.75" customHeight="1">
      <c r="B11" s="67"/>
      <c r="C11" s="68"/>
      <c r="G11" s="57"/>
      <c r="H11" s="60"/>
      <c r="I11" s="61"/>
      <c r="J11" s="252"/>
      <c r="K11" s="253"/>
      <c r="L11" s="253"/>
      <c r="M11" s="253"/>
      <c r="N11" s="253"/>
      <c r="O11" s="253"/>
      <c r="P11" s="253"/>
      <c r="Q11" s="253"/>
      <c r="R11" s="253"/>
      <c r="S11" s="253"/>
      <c r="T11" s="253"/>
      <c r="U11" s="254"/>
    </row>
    <row r="12" spans="2:21" ht="12.75" customHeight="1">
      <c r="B12" s="67"/>
      <c r="C12" s="68"/>
      <c r="G12" s="57"/>
      <c r="H12" s="60"/>
      <c r="I12" s="61"/>
      <c r="J12" s="252"/>
      <c r="K12" s="253"/>
      <c r="L12" s="253"/>
      <c r="M12" s="253"/>
      <c r="N12" s="253"/>
      <c r="O12" s="253"/>
      <c r="P12" s="253"/>
      <c r="Q12" s="253"/>
      <c r="R12" s="253"/>
      <c r="S12" s="253"/>
      <c r="T12" s="253"/>
      <c r="U12" s="254"/>
    </row>
    <row r="13" spans="2:21" ht="12.75" customHeight="1" thickBot="1">
      <c r="B13" s="69"/>
      <c r="C13" s="70"/>
      <c r="G13" s="57"/>
      <c r="H13" s="58"/>
      <c r="I13" s="61"/>
      <c r="J13" s="252"/>
      <c r="K13" s="253"/>
      <c r="L13" s="253"/>
      <c r="M13" s="253"/>
      <c r="N13" s="253"/>
      <c r="O13" s="253"/>
      <c r="P13" s="253"/>
      <c r="Q13" s="253"/>
      <c r="R13" s="253"/>
      <c r="S13" s="253"/>
      <c r="T13" s="253"/>
      <c r="U13" s="254"/>
    </row>
    <row r="14" spans="2:21">
      <c r="G14" s="60"/>
      <c r="H14" s="58"/>
      <c r="I14" s="61"/>
      <c r="J14" s="246"/>
      <c r="K14" s="247"/>
      <c r="L14" s="247"/>
      <c r="M14" s="247"/>
      <c r="N14" s="247"/>
      <c r="O14" s="247"/>
      <c r="P14" s="247"/>
      <c r="Q14" s="247"/>
      <c r="R14" s="247"/>
      <c r="S14" s="247"/>
      <c r="T14" s="247"/>
      <c r="U14" s="248"/>
    </row>
    <row r="15" spans="2:21">
      <c r="G15" s="58"/>
      <c r="H15" s="58"/>
      <c r="I15" s="61"/>
      <c r="J15" s="246"/>
      <c r="K15" s="247"/>
      <c r="L15" s="247"/>
      <c r="M15" s="247"/>
      <c r="N15" s="247"/>
      <c r="O15" s="247"/>
      <c r="P15" s="247"/>
      <c r="Q15" s="247"/>
      <c r="R15" s="247"/>
      <c r="S15" s="247"/>
      <c r="T15" s="247"/>
      <c r="U15" s="248"/>
    </row>
    <row r="16" spans="2:21">
      <c r="G16" s="58"/>
      <c r="H16" s="58"/>
      <c r="I16" s="61"/>
      <c r="J16" s="246"/>
      <c r="K16" s="247"/>
      <c r="L16" s="247"/>
      <c r="M16" s="247"/>
      <c r="N16" s="247"/>
      <c r="O16" s="247"/>
      <c r="P16" s="247"/>
      <c r="Q16" s="247"/>
      <c r="R16" s="247"/>
      <c r="S16" s="247"/>
      <c r="T16" s="247"/>
      <c r="U16" s="248"/>
    </row>
    <row r="17" spans="7:21">
      <c r="G17" s="58"/>
      <c r="H17" s="58"/>
      <c r="I17" s="61"/>
      <c r="J17" s="246"/>
      <c r="K17" s="247"/>
      <c r="L17" s="247"/>
      <c r="M17" s="247"/>
      <c r="N17" s="247"/>
      <c r="O17" s="247"/>
      <c r="P17" s="247"/>
      <c r="Q17" s="247"/>
      <c r="R17" s="247"/>
      <c r="S17" s="247"/>
      <c r="T17" s="247"/>
      <c r="U17" s="248"/>
    </row>
    <row r="18" spans="7:21">
      <c r="G18" s="58"/>
      <c r="H18" s="58"/>
      <c r="I18" s="61"/>
      <c r="J18" s="246"/>
      <c r="K18" s="247"/>
      <c r="L18" s="247"/>
      <c r="M18" s="247"/>
      <c r="N18" s="247"/>
      <c r="O18" s="247"/>
      <c r="P18" s="247"/>
      <c r="Q18" s="247"/>
      <c r="R18" s="247"/>
      <c r="S18" s="247"/>
      <c r="T18" s="247"/>
      <c r="U18" s="248"/>
    </row>
    <row r="19" spans="7:21">
      <c r="G19" s="58"/>
      <c r="H19" s="58"/>
      <c r="I19" s="61"/>
      <c r="J19" s="246"/>
      <c r="K19" s="247"/>
      <c r="L19" s="247"/>
      <c r="M19" s="247"/>
      <c r="N19" s="247"/>
      <c r="O19" s="247"/>
      <c r="P19" s="247"/>
      <c r="Q19" s="247"/>
      <c r="R19" s="247"/>
      <c r="S19" s="247"/>
      <c r="T19" s="247"/>
      <c r="U19" s="248"/>
    </row>
    <row r="20" spans="7:21">
      <c r="G20" s="58"/>
      <c r="H20" s="58"/>
      <c r="I20" s="61"/>
      <c r="J20" s="246"/>
      <c r="K20" s="247"/>
      <c r="L20" s="247"/>
      <c r="M20" s="247"/>
      <c r="N20" s="247"/>
      <c r="O20" s="247"/>
      <c r="P20" s="247"/>
      <c r="Q20" s="247"/>
      <c r="R20" s="247"/>
      <c r="S20" s="247"/>
      <c r="T20" s="247"/>
      <c r="U20" s="248"/>
    </row>
    <row r="21" spans="7:21">
      <c r="G21" s="58"/>
      <c r="H21" s="58"/>
      <c r="I21" s="61"/>
      <c r="J21" s="246"/>
      <c r="K21" s="247"/>
      <c r="L21" s="247"/>
      <c r="M21" s="247"/>
      <c r="N21" s="247"/>
      <c r="O21" s="247"/>
      <c r="P21" s="247"/>
      <c r="Q21" s="247"/>
      <c r="R21" s="247"/>
      <c r="S21" s="247"/>
      <c r="T21" s="247"/>
      <c r="U21" s="248"/>
    </row>
    <row r="22" spans="7:21">
      <c r="G22" s="58"/>
      <c r="H22" s="58"/>
      <c r="I22" s="61"/>
      <c r="J22" s="246"/>
      <c r="K22" s="247"/>
      <c r="L22" s="247"/>
      <c r="M22" s="247"/>
      <c r="N22" s="247"/>
      <c r="O22" s="247"/>
      <c r="P22" s="247"/>
      <c r="Q22" s="247"/>
      <c r="R22" s="247"/>
      <c r="S22" s="247"/>
      <c r="T22" s="247"/>
      <c r="U22" s="248"/>
    </row>
    <row r="23" spans="7:21">
      <c r="G23" s="58"/>
      <c r="H23" s="58"/>
      <c r="I23" s="61"/>
      <c r="J23" s="246"/>
      <c r="K23" s="247"/>
      <c r="L23" s="247"/>
      <c r="M23" s="247"/>
      <c r="N23" s="247"/>
      <c r="O23" s="247"/>
      <c r="P23" s="247"/>
      <c r="Q23" s="247"/>
      <c r="R23" s="247"/>
      <c r="S23" s="247"/>
      <c r="T23" s="247"/>
      <c r="U23" s="248"/>
    </row>
    <row r="24" spans="7:21">
      <c r="G24" s="58"/>
      <c r="H24" s="58"/>
      <c r="I24" s="61"/>
      <c r="J24" s="246"/>
      <c r="K24" s="247"/>
      <c r="L24" s="247"/>
      <c r="M24" s="247"/>
      <c r="N24" s="247"/>
      <c r="O24" s="247"/>
      <c r="P24" s="247"/>
      <c r="Q24" s="247"/>
      <c r="R24" s="247"/>
      <c r="S24" s="247"/>
      <c r="T24" s="247"/>
      <c r="U24" s="248"/>
    </row>
    <row r="25" spans="7:21">
      <c r="G25" s="58"/>
      <c r="H25" s="58"/>
      <c r="I25" s="61"/>
      <c r="J25" s="246"/>
      <c r="K25" s="247"/>
      <c r="L25" s="247"/>
      <c r="M25" s="247"/>
      <c r="N25" s="247"/>
      <c r="O25" s="247"/>
      <c r="P25" s="247"/>
      <c r="Q25" s="247"/>
      <c r="R25" s="247"/>
      <c r="S25" s="247"/>
      <c r="T25" s="247"/>
      <c r="U25" s="248"/>
    </row>
    <row r="26" spans="7:21">
      <c r="G26" s="58"/>
      <c r="H26" s="58"/>
      <c r="I26" s="61"/>
      <c r="J26" s="246"/>
      <c r="K26" s="247"/>
      <c r="L26" s="247"/>
      <c r="M26" s="247"/>
      <c r="N26" s="247"/>
      <c r="O26" s="247"/>
      <c r="P26" s="247"/>
      <c r="Q26" s="247"/>
      <c r="R26" s="247"/>
      <c r="S26" s="247"/>
      <c r="T26" s="247"/>
      <c r="U26" s="248"/>
    </row>
    <row r="27" spans="7:21">
      <c r="G27" s="58"/>
      <c r="H27" s="58"/>
      <c r="I27" s="61"/>
      <c r="J27" s="246"/>
      <c r="K27" s="247"/>
      <c r="L27" s="247"/>
      <c r="M27" s="247"/>
      <c r="N27" s="247"/>
      <c r="O27" s="247"/>
      <c r="P27" s="247"/>
      <c r="Q27" s="247"/>
      <c r="R27" s="247"/>
      <c r="S27" s="247"/>
      <c r="T27" s="247"/>
      <c r="U27" s="248"/>
    </row>
    <row r="28" spans="7:21">
      <c r="G28" s="58"/>
      <c r="H28" s="58"/>
      <c r="I28" s="61"/>
      <c r="J28" s="246"/>
      <c r="K28" s="247"/>
      <c r="L28" s="247"/>
      <c r="M28" s="247"/>
      <c r="N28" s="247"/>
      <c r="O28" s="247"/>
      <c r="P28" s="247"/>
      <c r="Q28" s="247"/>
      <c r="R28" s="247"/>
      <c r="S28" s="247"/>
      <c r="T28" s="247"/>
      <c r="U28" s="248"/>
    </row>
    <row r="29" spans="7:21">
      <c r="G29" s="58"/>
      <c r="H29" s="58"/>
      <c r="I29" s="61"/>
      <c r="J29" s="246"/>
      <c r="K29" s="247"/>
      <c r="L29" s="247"/>
      <c r="M29" s="247"/>
      <c r="N29" s="247"/>
      <c r="O29" s="247"/>
      <c r="P29" s="247"/>
      <c r="Q29" s="247"/>
      <c r="R29" s="247"/>
      <c r="S29" s="247"/>
      <c r="T29" s="247"/>
      <c r="U29" s="248"/>
    </row>
    <row r="30" spans="7:21">
      <c r="G30" s="58"/>
      <c r="H30" s="58"/>
      <c r="I30" s="61"/>
      <c r="J30" s="246"/>
      <c r="K30" s="247"/>
      <c r="L30" s="247"/>
      <c r="M30" s="247"/>
      <c r="N30" s="247"/>
      <c r="O30" s="247"/>
      <c r="P30" s="247"/>
      <c r="Q30" s="247"/>
      <c r="R30" s="247"/>
      <c r="S30" s="247"/>
      <c r="T30" s="247"/>
      <c r="U30" s="248"/>
    </row>
    <row r="31" spans="7:21">
      <c r="G31" s="58"/>
      <c r="H31" s="58"/>
      <c r="I31" s="61"/>
      <c r="J31" s="246"/>
      <c r="K31" s="247"/>
      <c r="L31" s="247"/>
      <c r="M31" s="247"/>
      <c r="N31" s="247"/>
      <c r="O31" s="247"/>
      <c r="P31" s="247"/>
      <c r="Q31" s="247"/>
      <c r="R31" s="247"/>
      <c r="S31" s="247"/>
      <c r="T31" s="247"/>
      <c r="U31" s="248"/>
    </row>
    <row r="32" spans="7:21">
      <c r="G32" s="58"/>
      <c r="H32" s="58"/>
      <c r="I32" s="61"/>
      <c r="J32" s="246"/>
      <c r="K32" s="247"/>
      <c r="L32" s="247"/>
      <c r="M32" s="247"/>
      <c r="N32" s="247"/>
      <c r="O32" s="247"/>
      <c r="P32" s="247"/>
      <c r="Q32" s="247"/>
      <c r="R32" s="247"/>
      <c r="S32" s="247"/>
      <c r="T32" s="247"/>
      <c r="U32" s="248"/>
    </row>
    <row r="33" spans="7:21">
      <c r="G33" s="58"/>
      <c r="H33" s="58"/>
      <c r="I33" s="61"/>
      <c r="J33" s="246"/>
      <c r="K33" s="247"/>
      <c r="L33" s="247"/>
      <c r="M33" s="247"/>
      <c r="N33" s="247"/>
      <c r="O33" s="247"/>
      <c r="P33" s="247"/>
      <c r="Q33" s="247"/>
      <c r="R33" s="247"/>
      <c r="S33" s="247"/>
      <c r="T33" s="247"/>
      <c r="U33" s="248"/>
    </row>
    <row r="34" spans="7:21">
      <c r="G34" s="58"/>
      <c r="H34" s="58"/>
      <c r="I34" s="61"/>
      <c r="J34" s="246"/>
      <c r="K34" s="247"/>
      <c r="L34" s="247"/>
      <c r="M34" s="247"/>
      <c r="N34" s="247"/>
      <c r="O34" s="247"/>
      <c r="P34" s="247"/>
      <c r="Q34" s="247"/>
      <c r="R34" s="247"/>
      <c r="S34" s="247"/>
      <c r="T34" s="247"/>
      <c r="U34" s="248"/>
    </row>
  </sheetData>
  <mergeCells count="33">
    <mergeCell ref="J33:U33"/>
    <mergeCell ref="J34:U34"/>
    <mergeCell ref="J27:U27"/>
    <mergeCell ref="J28:U28"/>
    <mergeCell ref="J29:U29"/>
    <mergeCell ref="J30:U30"/>
    <mergeCell ref="J31:U31"/>
    <mergeCell ref="J32:U32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</mergeCells>
  <dataValidations count="1">
    <dataValidation type="custom" allowBlank="1" showDropDown="1" sqref="G4:G34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9525</xdr:colOff>
                <xdr:row>8</xdr:row>
                <xdr:rowOff>38100</xdr:rowOff>
              </from>
              <to>
                <xdr:col>3</xdr:col>
                <xdr:colOff>104775</xdr:colOff>
                <xdr:row>12</xdr:row>
                <xdr:rowOff>104775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H11"/>
  <sheetViews>
    <sheetView zoomScale="40" zoomScaleNormal="40" workbookViewId="0">
      <selection activeCell="C11" sqref="C11"/>
    </sheetView>
  </sheetViews>
  <sheetFormatPr defaultColWidth="9.140625" defaultRowHeight="15"/>
  <cols>
    <col min="1" max="1" width="9.140625" style="2"/>
    <col min="2" max="2" width="3.5703125" style="2" bestFit="1" customWidth="1"/>
    <col min="3" max="3" width="29.42578125" style="2" bestFit="1" customWidth="1"/>
    <col min="4" max="4" width="9.7109375" style="2" bestFit="1" customWidth="1"/>
    <col min="5" max="13" width="9.140625" style="2"/>
    <col min="14" max="14" width="9.85546875" style="2" customWidth="1"/>
    <col min="15" max="16384" width="9.140625" style="2"/>
  </cols>
  <sheetData>
    <row r="2" spans="2:34" ht="15.75" thickBot="1"/>
    <row r="3" spans="2:34" ht="15.75" thickBot="1">
      <c r="B3" s="3"/>
      <c r="C3" s="3"/>
      <c r="D3" s="255" t="s">
        <v>17</v>
      </c>
      <c r="E3" s="256"/>
      <c r="F3" s="256"/>
      <c r="G3" s="256"/>
      <c r="H3" s="256"/>
      <c r="I3" s="256"/>
      <c r="J3" s="257"/>
      <c r="K3" s="258" t="s">
        <v>18</v>
      </c>
      <c r="L3" s="256"/>
      <c r="M3" s="256"/>
      <c r="N3" s="256"/>
      <c r="O3" s="256"/>
      <c r="P3" s="256"/>
      <c r="Q3" s="257"/>
      <c r="R3" s="259" t="s">
        <v>19</v>
      </c>
      <c r="S3" s="256"/>
      <c r="T3" s="256"/>
      <c r="U3" s="256"/>
      <c r="V3" s="256"/>
      <c r="W3" s="256"/>
      <c r="X3" s="257"/>
      <c r="Y3" s="260" t="s">
        <v>20</v>
      </c>
      <c r="Z3" s="256"/>
      <c r="AA3" s="256"/>
      <c r="AB3" s="256"/>
      <c r="AC3" s="256"/>
      <c r="AD3" s="256"/>
      <c r="AE3" s="257"/>
      <c r="AF3" s="261"/>
      <c r="AG3" s="256"/>
      <c r="AH3" s="262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5.75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MASTER DATA</vt:lpstr>
      <vt:lpstr>INPUT TRANSAKSI</vt:lpstr>
      <vt:lpstr>DATA PENGELUARAN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JACKDAW</cp:lastModifiedBy>
  <dcterms:created xsi:type="dcterms:W3CDTF">2024-09-17T08:03:56Z</dcterms:created>
  <dcterms:modified xsi:type="dcterms:W3CDTF">2024-10-12T14:41:16Z</dcterms:modified>
</cp:coreProperties>
</file>